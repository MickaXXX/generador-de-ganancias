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strucciones" sheetId="2" state="visible" r:id="rId2"/>
    <sheet name="Datos" sheetId="3" state="visible" r:id="rId3"/>
    <sheet name="Criticidad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sz val="10"/>
    </font>
    <font>
      <b val="1"/>
      <color rgb="00C55A11"/>
      <sz val="11"/>
    </font>
    <font>
      <b val="1"/>
      <color rgb="00FFFFFF"/>
      <sz val="10"/>
    </font>
    <font>
      <b val="1"/>
      <sz val="10"/>
    </font>
    <font>
      <b val="1"/>
      <color rgb="001F3864"/>
      <sz val="14"/>
    </font>
    <font>
      <i val="1"/>
      <color rgb="00808080"/>
      <sz val="9"/>
    </font>
    <font>
      <i val="1"/>
      <color rgb="00808080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3" fontId="9" fillId="4" borderId="1" pivotButton="0" quotePrefix="0" xfId="0"/>
    <xf numFmtId="164" fontId="9" fillId="4" borderId="1" pivotButton="0" quotePrefix="0" xfId="0"/>
    <xf numFmtId="164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9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0" fontId="0" fillId="0" borderId="1" pivotButton="0" quotePrefix="0" xfId="0"/>
    <xf numFmtId="9" fontId="0" fillId="3" borderId="0" pivotButton="0" quotePrefix="0" xfId="0"/>
  </cellXfs>
  <cellStyles count="1">
    <cellStyle name="Normal" xfId="0" builtinId="0" hidden="0"/>
  </cellStyles>
  <dxfs count="4">
    <dxf>
      <font>
        <b val="1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ont>
        <b val="1"/>
        <color rgb="00FFFFFF"/>
      </font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</cols>
  <sheetData>
    <row r="2">
      <c r="B2" s="1" t="inlineStr">
        <is>
          <t>RESUMEN EJECUTIVO</t>
        </is>
      </c>
    </row>
    <row r="3">
      <c r="B3" s="2" t="inlineStr">
        <is>
          <t>Se recalcula solo al cambiar la hoja Datos.</t>
        </is>
      </c>
    </row>
    <row r="5">
      <c r="B5" s="3" t="inlineStr">
        <is>
          <t>PORTAFOLIO</t>
        </is>
      </c>
    </row>
    <row r="6">
      <c r="B6" s="4" t="inlineStr">
        <is>
          <t>Repuestos con datos</t>
        </is>
      </c>
      <c r="C6" s="5">
        <f>COUNT(Datos!D2:D301)</f>
        <v/>
      </c>
    </row>
    <row r="7">
      <c r="B7" s="4" t="inlineStr">
        <is>
          <t>Clase A (paran la planta)</t>
        </is>
      </c>
      <c r="C7" s="5">
        <f>COUNTIF(Criticidad!$AJ$2:$AJ$301,"A")</f>
        <v/>
      </c>
    </row>
    <row r="8">
      <c r="B8" s="4" t="inlineStr">
        <is>
          <t>Clase B</t>
        </is>
      </c>
      <c r="C8" s="5">
        <f>COUNTIF(Criticidad!$AJ$2:$AJ$301,"B")</f>
        <v/>
      </c>
    </row>
    <row r="9">
      <c r="B9" s="4" t="inlineStr">
        <is>
          <t>Clase C</t>
        </is>
      </c>
      <c r="C9" s="5">
        <f>COUNTIF(Criticidad!$AJ$2:$AJ$301,"C")</f>
        <v/>
      </c>
    </row>
    <row r="11">
      <c r="B11" s="3" t="inlineStr">
        <is>
          <t>CAPITAL</t>
        </is>
      </c>
    </row>
    <row r="12">
      <c r="B12" s="4" t="inlineStr">
        <is>
          <t>Capital inmovilizado hoy</t>
        </is>
      </c>
      <c r="C12" s="5">
        <f>SUMPRODUCT(Criticidad!$C$2:$C$301,N(Criticidad!$AQ$2:$AQ$301))</f>
        <v/>
      </c>
    </row>
    <row r="13">
      <c r="B13" s="4" t="inlineStr">
        <is>
          <t>Capital liberable (sobrestock)</t>
        </is>
      </c>
      <c r="C13" s="5">
        <f>SUM(Criticidad!$AS$2:$AS$301)</f>
        <v/>
      </c>
    </row>
    <row r="14">
      <c r="B14" s="4" t="inlineStr">
        <is>
          <t>% del capital que sobra</t>
        </is>
      </c>
      <c r="C14" s="6">
        <f>IF(C12=0,0,C13/C12)</f>
        <v/>
      </c>
    </row>
    <row r="16">
      <c r="B16" s="3" t="inlineStr">
        <is>
          <t>RIESGO</t>
        </is>
      </c>
    </row>
    <row r="17">
      <c r="B17" s="4" t="inlineStr">
        <is>
          <t>Repuestos bajo cobertura</t>
        </is>
      </c>
      <c r="C17" s="5">
        <f>COUNTIF(Criticidad!$AT$2:$AT$301,"SI")</f>
        <v/>
      </c>
    </row>
    <row r="18">
      <c r="B18" s="4" t="inlineStr">
        <is>
          <t xml:space="preserve">  de ellos clase A</t>
        </is>
      </c>
      <c r="C18" s="5">
        <f>COUNTIFS(Criticidad!$AT$2:$AT$301,"SI",Criticidad!$AJ$2:$AJ$301,"A")</f>
        <v/>
      </c>
    </row>
    <row r="19">
      <c r="B19" s="4" t="inlineStr">
        <is>
          <t>Repuestos a reponer ahora</t>
        </is>
      </c>
      <c r="C19" s="5">
        <f>COUNTIF(Criticidad!$AU$2:$AU$301,"Reponer ahora")</f>
        <v/>
      </c>
    </row>
    <row r="21">
      <c r="B21" s="3" t="inlineStr">
        <is>
          <t>PESO OBJETIVO DE CADA CRITERIO (entropia de Shannon)</t>
        </is>
      </c>
    </row>
    <row r="22">
      <c r="B22" s="4">
        <f>Criticidad!BA2</f>
        <v/>
      </c>
      <c r="C22" s="7">
        <f>Criticidad!BE2</f>
        <v/>
      </c>
    </row>
    <row r="23">
      <c r="B23" s="4">
        <f>Criticidad!BA3</f>
        <v/>
      </c>
      <c r="C23" s="7">
        <f>Criticidad!BE3</f>
        <v/>
      </c>
    </row>
    <row r="24">
      <c r="B24" s="4">
        <f>Criticidad!BA4</f>
        <v/>
      </c>
      <c r="C24" s="7">
        <f>Criticidad!BE4</f>
        <v/>
      </c>
    </row>
    <row r="25">
      <c r="B25" s="4">
        <f>Criticidad!BA5</f>
        <v/>
      </c>
      <c r="C25" s="7">
        <f>Criticidad!BE5</f>
        <v/>
      </c>
    </row>
    <row r="26">
      <c r="B26" s="4">
        <f>Criticidad!BA6</f>
        <v/>
      </c>
      <c r="C26" s="7">
        <f>Criticidad!BE6</f>
        <v/>
      </c>
    </row>
    <row r="27">
      <c r="B27" s="4">
        <f>Criticidad!BA7</f>
        <v/>
      </c>
      <c r="C27" s="7">
        <f>Criticidad!BE7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KIT DE CRITICIDAD DE REPUESTOS</t>
        </is>
      </c>
    </row>
    <row r="3">
      <c r="B3" s="4" t="inlineStr">
        <is>
          <t>Clasificacion multicriterio y politica de inventario (R,S) en una sola planilla.</t>
        </is>
      </c>
    </row>
    <row r="4">
      <c r="B4" s="4" t="inlineStr"/>
    </row>
    <row r="5">
      <c r="B5" s="3" t="inlineStr">
        <is>
          <t>COMO SE USA</t>
        </is>
      </c>
    </row>
    <row r="6">
      <c r="B6" s="4" t="inlineStr">
        <is>
          <t>1. Ve a la hoja «Datos» y reemplaza las filas de ejemplo por tu maestro de repuestos.</t>
        </is>
      </c>
    </row>
    <row r="7">
      <c r="B7" s="4" t="inlineStr">
        <is>
          <t>2. Completa al menos: SKU, precio unitario, consumo anual y lead time en dias.</t>
        </is>
      </c>
    </row>
    <row r="8">
      <c r="B8" s="4" t="inlineStr">
        <is>
          <t>3. Listo. Las hojas «Criticidad» y «Resumen» se recalculan solas.</t>
        </is>
      </c>
    </row>
    <row r="9">
      <c r="B9" s="4" t="inlineStr">
        <is>
          <t>4. En «Parametros» puedes ajustar el nivel de servicio y el periodo de revision de cada clase.</t>
        </is>
      </c>
    </row>
    <row r="10">
      <c r="B10" s="4" t="inlineStr"/>
    </row>
    <row r="11">
      <c r="B11" s="3" t="inlineStr">
        <is>
          <t>QUE CALCULA</t>
        </is>
      </c>
    </row>
    <row r="12">
      <c r="B12" s="4" t="inlineStr">
        <is>
          <t>Pesos por entropia de Shannon: el peso de cada criterio sale de la informacion que aporta</t>
        </is>
      </c>
    </row>
    <row r="13">
      <c r="B13" s="4" t="inlineStr">
        <is>
          <t>tu propia data, no de una opinion. Un criterio que no discrimina entre repuestos, no pesa.</t>
        </is>
      </c>
    </row>
    <row r="14">
      <c r="B14" s="4" t="inlineStr"/>
    </row>
    <row r="15">
      <c r="B15" s="4" t="inlineStr">
        <is>
          <t>Indice de criticidad TOPSIS: cada repuesto recibe un valor entre 0 y 1 segun su distancia</t>
        </is>
      </c>
    </row>
    <row r="16">
      <c r="B16" s="4" t="inlineStr">
        <is>
          <t>a la solucion ideal y a la anti-ideal. Es comparable entre plantas y a lo largo del tiempo.</t>
        </is>
      </c>
    </row>
    <row r="17">
      <c r="B17" s="4" t="inlineStr"/>
    </row>
    <row r="18">
      <c r="B18" s="4" t="inlineStr">
        <is>
          <t>Clasificacion ABC de Pareto: se ordena por criticidad x valor de consumo anual. La clase A</t>
        </is>
      </c>
    </row>
    <row r="19">
      <c r="B19" s="4" t="inlineStr">
        <is>
          <t>concentra el 80% del impacto, la B hasta el 95% y la C el resto.</t>
        </is>
      </c>
    </row>
    <row r="20">
      <c r="B20" s="4" t="inlineStr"/>
    </row>
    <row r="21">
      <c r="B21" s="4" t="inlineStr">
        <is>
          <t>Politica (R,S): para cada clase se fija un nivel de servicio y un periodo de revision, y de</t>
        </is>
      </c>
    </row>
    <row r="22">
      <c r="B22" s="4" t="inlineStr">
        <is>
          <t>ahi salen el stock de seguridad, el nivel objetivo S, el exceso de stock y el capital liberable.</t>
        </is>
      </c>
    </row>
    <row r="23">
      <c r="B23" s="4" t="inlineStr"/>
    </row>
    <row r="24">
      <c r="B24" s="3" t="inlineStr">
        <is>
          <t>SUPUESTOS QUE DEBES REVISAR</t>
        </is>
      </c>
    </row>
    <row r="25">
      <c r="B25" s="4" t="inlineStr">
        <is>
          <t>· La demanda se modela como normal con CV configurable (0,5 por defecto). Para repuestos de</t>
        </is>
      </c>
    </row>
    <row r="26">
      <c r="B26" s="4" t="inlineStr">
        <is>
          <t xml:space="preserve">  rotacion muy baja (menos de 3 salidas al año) conviene un modelo de Poisson o Croston.</t>
        </is>
      </c>
    </row>
    <row r="27">
      <c r="B27" s="4" t="inlineStr">
        <is>
          <t>· El lead time se supone deterministico. Si tu proveedor es erratico, subelo al percentil 90.</t>
        </is>
      </c>
    </row>
    <row r="28">
      <c r="B28" s="4" t="inlineStr">
        <is>
          <t>· El año se modela con 360 dias operativos (ajustable en «Parametros»).</t>
        </is>
      </c>
    </row>
    <row r="29">
      <c r="B29" s="4" t="inlineStr"/>
    </row>
    <row r="30">
      <c r="B30" s="3" t="inlineStr">
        <is>
          <t>LIMITE DE FILAS</t>
        </is>
      </c>
    </row>
    <row r="31">
      <c r="B31" s="4" t="inlineStr">
        <is>
          <t>La planilla trae formulas hasta la fila 301. Para maestros mas grandes, copia la ultima</t>
        </is>
      </c>
    </row>
    <row r="32">
      <c r="B32" s="4" t="inlineStr">
        <is>
          <t>fila de «Criticidad» hacia abajo y extiende los rangos, o usa la version web sin limite.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15" customWidth="1" min="4" max="4"/>
    <col width="14" customWidth="1" min="5" max="5"/>
    <col width="15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>
      <c r="A1" s="8" t="inlineStr">
        <is>
          <t>SKU</t>
        </is>
      </c>
      <c r="B1" s="8" t="inlineStr">
        <is>
          <t>Descripcion</t>
        </is>
      </c>
      <c r="C1" s="8" t="inlineStr">
        <is>
          <t>Categoria</t>
        </is>
      </c>
      <c r="D1" s="8" t="inlineStr">
        <is>
          <t>Precio unitario</t>
        </is>
      </c>
      <c r="E1" s="8" t="inlineStr">
        <is>
          <t>Consumo anual</t>
        </is>
      </c>
      <c r="F1" s="8" t="inlineStr">
        <is>
          <t>Lead time (dias)</t>
        </is>
      </c>
      <c r="G1" s="8" t="inlineStr">
        <is>
          <t>Criticidad equipo (1-5)</t>
        </is>
      </c>
      <c r="H1" s="8" t="inlineStr">
        <is>
          <t>Horas parada si falla</t>
        </is>
      </c>
      <c r="I1" s="8" t="inlineStr">
        <is>
          <t>N proveedores</t>
        </is>
      </c>
      <c r="J1" s="8" t="inlineStr">
        <is>
          <t>Stock actual</t>
        </is>
      </c>
    </row>
    <row r="2">
      <c r="A2" t="inlineStr">
        <is>
          <t>SP-1000</t>
        </is>
      </c>
      <c r="B2" t="inlineStr">
        <is>
          <t>Rodamiento rigido de bolas 6210</t>
        </is>
      </c>
      <c r="C2" t="inlineStr">
        <is>
          <t>Rodamientos</t>
        </is>
      </c>
      <c r="D2" s="9" t="n">
        <v>60.3</v>
      </c>
      <c r="E2" s="10" t="n">
        <v>77</v>
      </c>
      <c r="F2" s="10" t="n">
        <v>8</v>
      </c>
      <c r="G2" s="10" t="n">
        <v>4</v>
      </c>
      <c r="H2" s="10" t="n">
        <v>29</v>
      </c>
      <c r="I2" s="10" t="n">
        <v>3</v>
      </c>
      <c r="J2" s="10" t="n">
        <v>16</v>
      </c>
    </row>
    <row r="3">
      <c r="A3" t="inlineStr">
        <is>
          <t>SP-1001</t>
        </is>
      </c>
      <c r="B3" t="inlineStr">
        <is>
          <t>Rodamiento a rodillos conicos 32216</t>
        </is>
      </c>
      <c r="C3" t="inlineStr">
        <is>
          <t>Rodamientos</t>
        </is>
      </c>
      <c r="D3" s="9" t="n">
        <v>274.24</v>
      </c>
      <c r="E3" s="10" t="n">
        <v>14</v>
      </c>
      <c r="F3" s="10" t="n">
        <v>26</v>
      </c>
      <c r="G3" s="10" t="n">
        <v>3</v>
      </c>
      <c r="H3" s="10" t="n">
        <v>29</v>
      </c>
      <c r="I3" s="10" t="n">
        <v>1</v>
      </c>
      <c r="J3" s="10" t="n">
        <v>0</v>
      </c>
    </row>
    <row r="4">
      <c r="A4" t="inlineStr">
        <is>
          <t>SP-1002</t>
        </is>
      </c>
      <c r="B4" t="inlineStr">
        <is>
          <t>Sello mecanico bomba centrifuga 3x2</t>
        </is>
      </c>
      <c r="C4" t="inlineStr">
        <is>
          <t>Sellos</t>
        </is>
      </c>
      <c r="D4" s="9" t="n">
        <v>392.53</v>
      </c>
      <c r="E4" s="10" t="n">
        <v>40</v>
      </c>
      <c r="F4" s="10" t="n">
        <v>38</v>
      </c>
      <c r="G4" s="10" t="n">
        <v>5</v>
      </c>
      <c r="H4" s="10" t="n">
        <v>22</v>
      </c>
      <c r="I4" s="10" t="n">
        <v>1</v>
      </c>
      <c r="J4" s="10" t="n">
        <v>0</v>
      </c>
    </row>
    <row r="5">
      <c r="A5" t="inlineStr">
        <is>
          <t>SP-1003</t>
        </is>
      </c>
      <c r="B5" t="inlineStr">
        <is>
          <t>Sello mecanico cartucho API 682</t>
        </is>
      </c>
      <c r="C5" t="inlineStr">
        <is>
          <t>Sellos</t>
        </is>
      </c>
      <c r="D5" s="9" t="n">
        <v>1523.87</v>
      </c>
      <c r="E5" s="10" t="n">
        <v>16</v>
      </c>
      <c r="F5" s="10" t="n">
        <v>65</v>
      </c>
      <c r="G5" s="10" t="n">
        <v>5</v>
      </c>
      <c r="H5" s="10" t="n">
        <v>14</v>
      </c>
      <c r="I5" s="10" t="n">
        <v>1</v>
      </c>
      <c r="J5" s="10" t="n">
        <v>9</v>
      </c>
    </row>
    <row r="6">
      <c r="A6" t="inlineStr">
        <is>
          <t>SP-1004</t>
        </is>
      </c>
      <c r="B6" t="inlineStr">
        <is>
          <t>Correa en V C-120</t>
        </is>
      </c>
      <c r="C6" t="inlineStr">
        <is>
          <t>Transmision</t>
        </is>
      </c>
      <c r="D6" s="9" t="n">
        <v>47.27</v>
      </c>
      <c r="E6" s="10" t="n">
        <v>109</v>
      </c>
      <c r="F6" s="10" t="n">
        <v>13</v>
      </c>
      <c r="G6" s="10" t="n">
        <v>2</v>
      </c>
      <c r="H6" s="10" t="n">
        <v>21</v>
      </c>
      <c r="I6" s="10" t="n">
        <v>4</v>
      </c>
      <c r="J6" s="10" t="n">
        <v>0</v>
      </c>
    </row>
    <row r="7">
      <c r="A7" t="inlineStr">
        <is>
          <t>SP-1005</t>
        </is>
      </c>
      <c r="B7" t="inlineStr">
        <is>
          <t>Correa dentada HTD 8M-1600</t>
        </is>
      </c>
      <c r="C7" t="inlineStr">
        <is>
          <t>Transmision</t>
        </is>
      </c>
      <c r="D7" s="9" t="n">
        <v>150.84</v>
      </c>
      <c r="E7" s="10" t="n">
        <v>52</v>
      </c>
      <c r="F7" s="10" t="n">
        <v>17</v>
      </c>
      <c r="G7" s="10" t="n">
        <v>3</v>
      </c>
      <c r="H7" s="10" t="n">
        <v>17</v>
      </c>
      <c r="I7" s="10" t="n">
        <v>1</v>
      </c>
      <c r="J7" s="10" t="n">
        <v>20</v>
      </c>
    </row>
    <row r="8">
      <c r="A8" t="inlineStr">
        <is>
          <t>SP-1006</t>
        </is>
      </c>
      <c r="B8" t="inlineStr">
        <is>
          <t>Filtro hidraulico 10 micrones</t>
        </is>
      </c>
      <c r="C8" t="inlineStr">
        <is>
          <t>Filtracion</t>
        </is>
      </c>
      <c r="D8" s="9" t="n">
        <v>78.28</v>
      </c>
      <c r="E8" s="10" t="n">
        <v>41</v>
      </c>
      <c r="F8" s="10" t="n">
        <v>17</v>
      </c>
      <c r="G8" s="10" t="n">
        <v>3</v>
      </c>
      <c r="H8" s="10" t="n">
        <v>10</v>
      </c>
      <c r="I8" s="10" t="n">
        <v>4</v>
      </c>
      <c r="J8" s="10" t="n">
        <v>6</v>
      </c>
    </row>
    <row r="9">
      <c r="A9" t="inlineStr">
        <is>
          <t>SP-1007</t>
        </is>
      </c>
      <c r="B9" t="inlineStr">
        <is>
          <t>Cartucho filtrante 5 um 40"</t>
        </is>
      </c>
      <c r="C9" t="inlineStr">
        <is>
          <t>Filtracion</t>
        </is>
      </c>
      <c r="D9" s="9" t="n">
        <v>23.86</v>
      </c>
      <c r="E9" s="10" t="n">
        <v>31</v>
      </c>
      <c r="F9" s="10" t="n">
        <v>21</v>
      </c>
      <c r="G9" s="10" t="n">
        <v>3</v>
      </c>
      <c r="H9" s="10" t="n">
        <v>27</v>
      </c>
      <c r="I9" s="10" t="n">
        <v>5</v>
      </c>
      <c r="J9" s="10" t="n">
        <v>20</v>
      </c>
    </row>
    <row r="10">
      <c r="A10" t="inlineStr">
        <is>
          <t>SP-1008</t>
        </is>
      </c>
      <c r="B10" t="inlineStr">
        <is>
          <t>Membrana osmosis inversa 8040</t>
        </is>
      </c>
      <c r="C10" t="inlineStr">
        <is>
          <t>Tratamiento</t>
        </is>
      </c>
      <c r="D10" s="9" t="n">
        <v>832.45</v>
      </c>
      <c r="E10" s="10" t="n">
        <v>17</v>
      </c>
      <c r="F10" s="10" t="n">
        <v>93</v>
      </c>
      <c r="G10" s="10" t="n">
        <v>5</v>
      </c>
      <c r="H10" s="10" t="n">
        <v>42</v>
      </c>
      <c r="I10" s="10" t="n">
        <v>1</v>
      </c>
      <c r="J10" s="10" t="n">
        <v>11</v>
      </c>
    </row>
    <row r="11">
      <c r="A11" t="inlineStr">
        <is>
          <t>SP-1009</t>
        </is>
      </c>
      <c r="B11" t="inlineStr">
        <is>
          <t>Resina cationica fuerte (saco 25L)</t>
        </is>
      </c>
      <c r="C11" t="inlineStr">
        <is>
          <t>Tratamiento</t>
        </is>
      </c>
      <c r="D11" s="9" t="n">
        <v>364.37</v>
      </c>
      <c r="E11" s="10" t="n">
        <v>26</v>
      </c>
      <c r="F11" s="10" t="n">
        <v>66</v>
      </c>
      <c r="G11" s="10" t="n">
        <v>4</v>
      </c>
      <c r="H11" s="10" t="n">
        <v>41</v>
      </c>
      <c r="I11" s="10" t="n">
        <v>2</v>
      </c>
      <c r="J11" s="10" t="n">
        <v>3</v>
      </c>
    </row>
    <row r="12">
      <c r="A12" t="inlineStr">
        <is>
          <t>SP-1010</t>
        </is>
      </c>
      <c r="B12" t="inlineStr">
        <is>
          <t>Valvula mariposa DN150 wafer</t>
        </is>
      </c>
      <c r="C12" t="inlineStr">
        <is>
          <t>Valvulas</t>
        </is>
      </c>
      <c r="D12" s="9" t="n">
        <v>690.89</v>
      </c>
      <c r="E12" s="10" t="n">
        <v>30</v>
      </c>
      <c r="F12" s="10" t="n">
        <v>44</v>
      </c>
      <c r="G12" s="10" t="n">
        <v>4</v>
      </c>
      <c r="H12" s="10" t="n">
        <v>30</v>
      </c>
      <c r="I12" s="10" t="n">
        <v>3</v>
      </c>
      <c r="J12" s="10" t="n">
        <v>15</v>
      </c>
    </row>
    <row r="13">
      <c r="A13" t="inlineStr">
        <is>
          <t>SP-1011</t>
        </is>
      </c>
      <c r="B13" t="inlineStr">
        <is>
          <t>Valvula de bola inox 2" 3 piezas</t>
        </is>
      </c>
      <c r="C13" t="inlineStr">
        <is>
          <t>Valvulas</t>
        </is>
      </c>
      <c r="D13" s="9" t="n">
        <v>251.71</v>
      </c>
      <c r="E13" s="10" t="n">
        <v>18</v>
      </c>
      <c r="F13" s="10" t="n">
        <v>24</v>
      </c>
      <c r="G13" s="10" t="n">
        <v>3</v>
      </c>
      <c r="H13" s="10" t="n">
        <v>6</v>
      </c>
      <c r="I13" s="10" t="n">
        <v>4</v>
      </c>
      <c r="J13" s="10" t="n">
        <v>3</v>
      </c>
    </row>
    <row r="14">
      <c r="A14" t="inlineStr">
        <is>
          <t>SP-1012</t>
        </is>
      </c>
      <c r="B14" t="inlineStr">
        <is>
          <t>Actuador neumatico doble efecto</t>
        </is>
      </c>
      <c r="C14" t="inlineStr">
        <is>
          <t>Valvulas</t>
        </is>
      </c>
      <c r="D14" s="9" t="n">
        <v>1059.94</v>
      </c>
      <c r="E14" s="10" t="n">
        <v>16</v>
      </c>
      <c r="F14" s="10" t="n">
        <v>34</v>
      </c>
      <c r="G14" s="10" t="n">
        <v>4</v>
      </c>
      <c r="H14" s="10" t="n">
        <v>37</v>
      </c>
      <c r="I14" s="10" t="n">
        <v>2</v>
      </c>
      <c r="J14" s="10" t="n">
        <v>12</v>
      </c>
    </row>
    <row r="15">
      <c r="A15" t="inlineStr">
        <is>
          <t>SP-1013</t>
        </is>
      </c>
      <c r="B15" t="inlineStr">
        <is>
          <t>Motor electrico 15 kW 4 polos</t>
        </is>
      </c>
      <c r="C15" t="inlineStr">
        <is>
          <t>Motores</t>
        </is>
      </c>
      <c r="D15" s="9" t="n">
        <v>2927.94</v>
      </c>
      <c r="E15" s="10" t="n">
        <v>13</v>
      </c>
      <c r="F15" s="10" t="n">
        <v>79</v>
      </c>
      <c r="G15" s="10" t="n">
        <v>5</v>
      </c>
      <c r="H15" s="10" t="n">
        <v>17</v>
      </c>
      <c r="I15" s="10" t="n">
        <v>2</v>
      </c>
      <c r="J15" s="10" t="n">
        <v>8</v>
      </c>
    </row>
    <row r="16">
      <c r="A16" t="inlineStr">
        <is>
          <t>SP-1014</t>
        </is>
      </c>
      <c r="B16" t="inlineStr">
        <is>
          <t>Motor electrico 55 kW 4 polos</t>
        </is>
      </c>
      <c r="C16" t="inlineStr">
        <is>
          <t>Motores</t>
        </is>
      </c>
      <c r="D16" s="9" t="n">
        <v>5966.68</v>
      </c>
      <c r="E16" s="10" t="n">
        <v>9</v>
      </c>
      <c r="F16" s="10" t="n">
        <v>91</v>
      </c>
      <c r="G16" s="10" t="n">
        <v>5</v>
      </c>
      <c r="H16" s="10" t="n">
        <v>53</v>
      </c>
      <c r="I16" s="10" t="n">
        <v>1</v>
      </c>
      <c r="J16" s="10" t="n">
        <v>5</v>
      </c>
    </row>
    <row r="17">
      <c r="A17" t="inlineStr">
        <is>
          <t>SP-1015</t>
        </is>
      </c>
      <c r="B17" t="inlineStr">
        <is>
          <t>Bomba centrifuga 65-200 (repuesto)</t>
        </is>
      </c>
      <c r="C17" t="inlineStr">
        <is>
          <t>Bombas</t>
        </is>
      </c>
      <c r="D17" s="9" t="n">
        <v>6412.22</v>
      </c>
      <c r="E17" s="10" t="n">
        <v>6</v>
      </c>
      <c r="F17" s="10" t="n">
        <v>139</v>
      </c>
      <c r="G17" s="10" t="n">
        <v>5</v>
      </c>
      <c r="H17" s="10" t="n">
        <v>21</v>
      </c>
      <c r="I17" s="10" t="n">
        <v>1</v>
      </c>
      <c r="J17" s="10" t="n">
        <v>3</v>
      </c>
    </row>
    <row r="18">
      <c r="A18" t="inlineStr">
        <is>
          <t>SP-1016</t>
        </is>
      </c>
      <c r="B18" t="inlineStr">
        <is>
          <t>Impulsor bomba 65-200</t>
        </is>
      </c>
      <c r="C18" t="inlineStr">
        <is>
          <t>Bombas</t>
        </is>
      </c>
      <c r="D18" s="9" t="n">
        <v>1064.92</v>
      </c>
      <c r="E18" s="10" t="n">
        <v>15</v>
      </c>
      <c r="F18" s="10" t="n">
        <v>77</v>
      </c>
      <c r="G18" s="10" t="n">
        <v>5</v>
      </c>
      <c r="H18" s="10" t="n">
        <v>19</v>
      </c>
      <c r="I18" s="10" t="n">
        <v>2</v>
      </c>
      <c r="J18" s="10" t="n">
        <v>4</v>
      </c>
    </row>
    <row r="19">
      <c r="A19" t="inlineStr">
        <is>
          <t>SP-1017</t>
        </is>
      </c>
      <c r="B19" t="inlineStr">
        <is>
          <t>Variador de frecuencia 22 kW</t>
        </is>
      </c>
      <c r="C19" t="inlineStr">
        <is>
          <t>Electrico</t>
        </is>
      </c>
      <c r="D19" s="9" t="n">
        <v>2593.69</v>
      </c>
      <c r="E19" s="10" t="n">
        <v>3</v>
      </c>
      <c r="F19" s="10" t="n">
        <v>51</v>
      </c>
      <c r="G19" s="10" t="n">
        <v>5</v>
      </c>
      <c r="H19" s="10" t="n">
        <v>15</v>
      </c>
      <c r="I19" s="10" t="n">
        <v>1</v>
      </c>
      <c r="J19" s="10" t="n">
        <v>2</v>
      </c>
    </row>
    <row r="20">
      <c r="A20" t="inlineStr">
        <is>
          <t>SP-1018</t>
        </is>
      </c>
      <c r="B20" t="inlineStr">
        <is>
          <t>Contactor tripolar 65 A</t>
        </is>
      </c>
      <c r="C20" t="inlineStr">
        <is>
          <t>Electrico</t>
        </is>
      </c>
      <c r="D20" s="9" t="n">
        <v>100.75</v>
      </c>
      <c r="E20" s="10" t="n">
        <v>62</v>
      </c>
      <c r="F20" s="10" t="n">
        <v>15</v>
      </c>
      <c r="G20" s="10" t="n">
        <v>3</v>
      </c>
      <c r="H20" s="10" t="n">
        <v>17</v>
      </c>
      <c r="I20" s="10" t="n">
        <v>4</v>
      </c>
      <c r="J20" s="10" t="n">
        <v>18</v>
      </c>
    </row>
    <row r="21">
      <c r="A21" t="inlineStr">
        <is>
          <t>SP-1019</t>
        </is>
      </c>
      <c r="B21" t="inlineStr">
        <is>
          <t>Rele termico 30-40 A</t>
        </is>
      </c>
      <c r="C21" t="inlineStr">
        <is>
          <t>Electrico</t>
        </is>
      </c>
      <c r="D21" s="9" t="n">
        <v>100.51</v>
      </c>
      <c r="E21" s="10" t="n">
        <v>40</v>
      </c>
      <c r="F21" s="10" t="n">
        <v>15</v>
      </c>
      <c r="G21" s="10" t="n">
        <v>3</v>
      </c>
      <c r="H21" s="10" t="n">
        <v>23</v>
      </c>
      <c r="I21" s="10" t="n">
        <v>4</v>
      </c>
      <c r="J21" s="10" t="n">
        <v>12</v>
      </c>
    </row>
    <row r="22">
      <c r="A22" t="inlineStr">
        <is>
          <t>SP-1020</t>
        </is>
      </c>
      <c r="B22" t="inlineStr">
        <is>
          <t>Tarjeta PLC entradas analogicas</t>
        </is>
      </c>
      <c r="C22" t="inlineStr">
        <is>
          <t>Instrumentos</t>
        </is>
      </c>
      <c r="D22" s="9" t="n">
        <v>1107.82</v>
      </c>
      <c r="E22" s="10" t="n">
        <v>21</v>
      </c>
      <c r="F22" s="10" t="n">
        <v>74</v>
      </c>
      <c r="G22" s="10" t="n">
        <v>5</v>
      </c>
      <c r="H22" s="10" t="n">
        <v>49</v>
      </c>
      <c r="I22" s="10" t="n">
        <v>1</v>
      </c>
      <c r="J22" s="10" t="n">
        <v>8</v>
      </c>
    </row>
    <row r="23">
      <c r="A23" t="inlineStr">
        <is>
          <t>SP-1021</t>
        </is>
      </c>
      <c r="B23" t="inlineStr">
        <is>
          <t>Transmisor de presion 0-10 bar</t>
        </is>
      </c>
      <c r="C23" t="inlineStr">
        <is>
          <t>Instrumentos</t>
        </is>
      </c>
      <c r="D23" s="9" t="n">
        <v>432.51</v>
      </c>
      <c r="E23" s="10" t="n">
        <v>33</v>
      </c>
      <c r="F23" s="10" t="n">
        <v>35</v>
      </c>
      <c r="G23" s="10" t="n">
        <v>4</v>
      </c>
      <c r="H23" s="10" t="n">
        <v>24</v>
      </c>
      <c r="I23" s="10" t="n">
        <v>3</v>
      </c>
      <c r="J23" s="10" t="n">
        <v>16</v>
      </c>
    </row>
    <row r="24">
      <c r="A24" t="inlineStr">
        <is>
          <t>SP-1022</t>
        </is>
      </c>
      <c r="B24" t="inlineStr">
        <is>
          <t>Sensor de flujo electromagnetico DN80</t>
        </is>
      </c>
      <c r="C24" t="inlineStr">
        <is>
          <t>Instrumentos</t>
        </is>
      </c>
      <c r="D24" s="9" t="n">
        <v>2135.86</v>
      </c>
      <c r="E24" s="10" t="n">
        <v>16</v>
      </c>
      <c r="F24" s="10" t="n">
        <v>81</v>
      </c>
      <c r="G24" s="10" t="n">
        <v>5</v>
      </c>
      <c r="H24" s="10" t="n">
        <v>39</v>
      </c>
      <c r="I24" s="10" t="n">
        <v>1</v>
      </c>
      <c r="J24" s="10" t="n">
        <v>8</v>
      </c>
    </row>
    <row r="25">
      <c r="A25" t="inlineStr">
        <is>
          <t>SP-1023</t>
        </is>
      </c>
      <c r="B25" t="inlineStr">
        <is>
          <t>Sensor de nivel ultrasonico</t>
        </is>
      </c>
      <c r="C25" t="inlineStr">
        <is>
          <t>Instrumentos</t>
        </is>
      </c>
      <c r="D25" s="9" t="n">
        <v>996.97</v>
      </c>
      <c r="E25" s="10" t="n">
        <v>16</v>
      </c>
      <c r="F25" s="10" t="n">
        <v>61</v>
      </c>
      <c r="G25" s="10" t="n">
        <v>4</v>
      </c>
      <c r="H25" s="10" t="n">
        <v>34</v>
      </c>
      <c r="I25" s="10" t="n">
        <v>2</v>
      </c>
      <c r="J25" s="10" t="n">
        <v>3</v>
      </c>
    </row>
    <row r="26">
      <c r="A26" t="inlineStr">
        <is>
          <t>SP-1024</t>
        </is>
      </c>
      <c r="B26" t="inlineStr">
        <is>
          <t>Manguera hidraulica R2 1" (metro)</t>
        </is>
      </c>
      <c r="C26" t="inlineStr">
        <is>
          <t>Fluidos</t>
        </is>
      </c>
      <c r="D26" s="9" t="n">
        <v>26.13</v>
      </c>
      <c r="E26" s="10" t="n">
        <v>63</v>
      </c>
      <c r="F26" s="10" t="n">
        <v>10</v>
      </c>
      <c r="G26" s="10" t="n">
        <v>1</v>
      </c>
      <c r="H26" s="10" t="n">
        <v>3</v>
      </c>
      <c r="I26" s="10" t="n">
        <v>5</v>
      </c>
      <c r="J26" s="10" t="n">
        <v>33</v>
      </c>
    </row>
    <row r="27">
      <c r="A27" t="inlineStr">
        <is>
          <t>SP-1025</t>
        </is>
      </c>
      <c r="B27" t="inlineStr">
        <is>
          <t>Acople flexible tipo grilla</t>
        </is>
      </c>
      <c r="C27" t="inlineStr">
        <is>
          <t>Transmision</t>
        </is>
      </c>
      <c r="D27" s="9" t="n">
        <v>248.02</v>
      </c>
      <c r="E27" s="10" t="n">
        <v>39</v>
      </c>
      <c r="F27" s="10" t="n">
        <v>25</v>
      </c>
      <c r="G27" s="10" t="n">
        <v>3</v>
      </c>
      <c r="H27" s="10" t="n">
        <v>34</v>
      </c>
      <c r="I27" s="10" t="n">
        <v>2</v>
      </c>
      <c r="J27" s="10" t="n">
        <v>23</v>
      </c>
    </row>
    <row r="28">
      <c r="A28" t="inlineStr">
        <is>
          <t>SP-1026</t>
        </is>
      </c>
      <c r="B28" t="inlineStr">
        <is>
          <t>Empaquetadura grafitada (kg)</t>
        </is>
      </c>
      <c r="C28" t="inlineStr">
        <is>
          <t>Sellos</t>
        </is>
      </c>
      <c r="D28" s="9" t="n">
        <v>83.70999999999999</v>
      </c>
      <c r="E28" s="10" t="n">
        <v>53</v>
      </c>
      <c r="F28" s="10" t="n">
        <v>30</v>
      </c>
      <c r="G28" s="10" t="n">
        <v>2</v>
      </c>
      <c r="H28" s="10" t="n">
        <v>12</v>
      </c>
      <c r="I28" s="10" t="n">
        <v>3</v>
      </c>
      <c r="J28" s="10" t="n">
        <v>24</v>
      </c>
    </row>
    <row r="29">
      <c r="A29" t="inlineStr">
        <is>
          <t>SP-1027</t>
        </is>
      </c>
      <c r="B29" t="inlineStr">
        <is>
          <t>Piston neumatico ISO 63x200</t>
        </is>
      </c>
      <c r="C29" t="inlineStr">
        <is>
          <t>Neumatica</t>
        </is>
      </c>
      <c r="D29" s="9" t="n">
        <v>435.34</v>
      </c>
      <c r="E29" s="10" t="n">
        <v>15</v>
      </c>
      <c r="F29" s="10" t="n">
        <v>30</v>
      </c>
      <c r="G29" s="10" t="n">
        <v>3</v>
      </c>
      <c r="H29" s="10" t="n">
        <v>31</v>
      </c>
      <c r="I29" s="10" t="n">
        <v>3</v>
      </c>
      <c r="J29" s="10" t="n">
        <v>0</v>
      </c>
    </row>
    <row r="30">
      <c r="A30" t="inlineStr">
        <is>
          <t>SP-1028</t>
        </is>
      </c>
      <c r="B30" t="inlineStr">
        <is>
          <t>Electrovalvula 5/2 24 VDC</t>
        </is>
      </c>
      <c r="C30" t="inlineStr">
        <is>
          <t>Neumatica</t>
        </is>
      </c>
      <c r="D30" s="9" t="n">
        <v>139.25</v>
      </c>
      <c r="E30" s="10" t="n">
        <v>61</v>
      </c>
      <c r="F30" s="10" t="n">
        <v>20</v>
      </c>
      <c r="G30" s="10" t="n">
        <v>3</v>
      </c>
      <c r="H30" s="10" t="n">
        <v>35</v>
      </c>
      <c r="I30" s="10" t="n">
        <v>4</v>
      </c>
      <c r="J30" s="10" t="n">
        <v>0</v>
      </c>
    </row>
    <row r="31">
      <c r="A31" t="inlineStr">
        <is>
          <t>SP-1029</t>
        </is>
      </c>
      <c r="B31" t="inlineStr">
        <is>
          <t>Compresor de aire (kit reparacion)</t>
        </is>
      </c>
      <c r="C31" t="inlineStr">
        <is>
          <t>Neumatica</t>
        </is>
      </c>
      <c r="D31" s="9" t="n">
        <v>1790.55</v>
      </c>
      <c r="E31" s="10" t="n">
        <v>17</v>
      </c>
      <c r="F31" s="10" t="n">
        <v>67</v>
      </c>
      <c r="G31" s="10" t="n">
        <v>5</v>
      </c>
      <c r="H31" s="10" t="n">
        <v>37</v>
      </c>
      <c r="I31" s="10" t="n">
        <v>2</v>
      </c>
      <c r="J31" s="10" t="n">
        <v>8</v>
      </c>
    </row>
    <row r="32">
      <c r="A32" t="inlineStr">
        <is>
          <t>SP-1030</t>
        </is>
      </c>
      <c r="B32" t="inlineStr">
        <is>
          <t>Reductor de velocidad i=20</t>
        </is>
      </c>
      <c r="C32" t="inlineStr">
        <is>
          <t>Transmision</t>
        </is>
      </c>
      <c r="D32" s="9" t="n">
        <v>5907.07</v>
      </c>
      <c r="E32" s="10" t="n">
        <v>5</v>
      </c>
      <c r="F32" s="10" t="n">
        <v>121</v>
      </c>
      <c r="G32" s="10" t="n">
        <v>5</v>
      </c>
      <c r="H32" s="10" t="n">
        <v>55</v>
      </c>
      <c r="I32" s="10" t="n">
        <v>1</v>
      </c>
      <c r="J32" s="10" t="n">
        <v>2</v>
      </c>
    </row>
    <row r="33">
      <c r="A33" t="inlineStr">
        <is>
          <t>SP-1031</t>
        </is>
      </c>
      <c r="B33" t="inlineStr">
        <is>
          <t>Chumacera SNL 517</t>
        </is>
      </c>
      <c r="C33" t="inlineStr">
        <is>
          <t>Rodamientos</t>
        </is>
      </c>
      <c r="D33" s="9" t="n">
        <v>316.91</v>
      </c>
      <c r="E33" s="10" t="n">
        <v>10</v>
      </c>
      <c r="F33" s="10" t="n">
        <v>41</v>
      </c>
      <c r="G33" s="10" t="n">
        <v>3</v>
      </c>
      <c r="H33" s="10" t="n">
        <v>33</v>
      </c>
      <c r="I33" s="10" t="n">
        <v>2</v>
      </c>
      <c r="J33" s="10" t="n">
        <v>2</v>
      </c>
    </row>
    <row r="34">
      <c r="A34" t="inlineStr">
        <is>
          <t>SP-1032</t>
        </is>
      </c>
      <c r="B34" t="inlineStr">
        <is>
          <t>Bomba dosificadora de diafragma</t>
        </is>
      </c>
      <c r="C34" t="inlineStr">
        <is>
          <t>Dosificacion</t>
        </is>
      </c>
      <c r="D34" s="9" t="n">
        <v>2336.48</v>
      </c>
      <c r="E34" s="10" t="n">
        <v>9</v>
      </c>
      <c r="F34" s="10" t="n">
        <v>72</v>
      </c>
      <c r="G34" s="10" t="n">
        <v>4</v>
      </c>
      <c r="H34" s="10" t="n">
        <v>47</v>
      </c>
      <c r="I34" s="10" t="n">
        <v>1</v>
      </c>
      <c r="J34" s="10" t="n">
        <v>0</v>
      </c>
    </row>
    <row r="35">
      <c r="A35" t="inlineStr">
        <is>
          <t>SP-1033</t>
        </is>
      </c>
      <c r="B35" t="inlineStr">
        <is>
          <t>Diafragma PTFE bomba dosificadora</t>
        </is>
      </c>
      <c r="C35" t="inlineStr">
        <is>
          <t>Dosificacion</t>
        </is>
      </c>
      <c r="D35" s="9" t="n">
        <v>211.04</v>
      </c>
      <c r="E35" s="10" t="n">
        <v>21</v>
      </c>
      <c r="F35" s="10" t="n">
        <v>39</v>
      </c>
      <c r="G35" s="10" t="n">
        <v>4</v>
      </c>
      <c r="H35" s="10" t="n">
        <v>28</v>
      </c>
      <c r="I35" s="10" t="n">
        <v>3</v>
      </c>
      <c r="J35" s="10" t="n">
        <v>3</v>
      </c>
    </row>
    <row r="36">
      <c r="A36" t="inlineStr">
        <is>
          <t>SP-1034</t>
        </is>
      </c>
      <c r="B36" t="inlineStr">
        <is>
          <t>Manometro glicerina 0-16 bar</t>
        </is>
      </c>
      <c r="C36" t="inlineStr">
        <is>
          <t>Instrumentos</t>
        </is>
      </c>
      <c r="D36" s="9" t="n">
        <v>51.09</v>
      </c>
      <c r="E36" s="10" t="n">
        <v>46</v>
      </c>
      <c r="F36" s="10" t="n">
        <v>8</v>
      </c>
      <c r="G36" s="10" t="n">
        <v>2</v>
      </c>
      <c r="H36" s="10" t="n">
        <v>18</v>
      </c>
      <c r="I36" s="10" t="n">
        <v>5</v>
      </c>
      <c r="J36" s="10" t="n">
        <v>0</v>
      </c>
    </row>
    <row r="37">
      <c r="A37" t="inlineStr">
        <is>
          <t>SP-1035</t>
        </is>
      </c>
      <c r="B37" t="inlineStr">
        <is>
          <t>Kit retenes caja reductora</t>
        </is>
      </c>
      <c r="C37" t="inlineStr">
        <is>
          <t>Transmision</t>
        </is>
      </c>
      <c r="D37" s="9" t="n">
        <v>147.99</v>
      </c>
      <c r="E37" s="10" t="n">
        <v>26</v>
      </c>
      <c r="F37" s="10" t="n">
        <v>31</v>
      </c>
      <c r="G37" s="10" t="n">
        <v>3</v>
      </c>
      <c r="H37" s="10" t="n">
        <v>31</v>
      </c>
      <c r="I37" s="10" t="n">
        <v>3</v>
      </c>
      <c r="J37" s="10" t="n">
        <v>6</v>
      </c>
    </row>
    <row r="38">
      <c r="A38" t="inlineStr">
        <is>
          <t>SP-1036</t>
        </is>
      </c>
      <c r="B38" t="inlineStr">
        <is>
          <t>Cadena de rodillos ASA 80 (metro)</t>
        </is>
      </c>
      <c r="C38" t="inlineStr">
        <is>
          <t>Transmision</t>
        </is>
      </c>
      <c r="D38" s="9" t="n">
        <v>45.55</v>
      </c>
      <c r="E38" s="10" t="n">
        <v>44</v>
      </c>
      <c r="F38" s="10" t="n">
        <v>22</v>
      </c>
      <c r="G38" s="10" t="n">
        <v>2</v>
      </c>
      <c r="H38" s="10" t="n">
        <v>14</v>
      </c>
      <c r="I38" s="10" t="n">
        <v>4</v>
      </c>
      <c r="J38" s="10" t="n">
        <v>6</v>
      </c>
    </row>
    <row r="39">
      <c r="A39" t="inlineStr">
        <is>
          <t>SP-1037</t>
        </is>
      </c>
      <c r="B39" t="inlineStr">
        <is>
          <t>Pinon Z=25 paso 1"</t>
        </is>
      </c>
      <c r="C39" t="inlineStr">
        <is>
          <t>Transmision</t>
        </is>
      </c>
      <c r="D39" s="9" t="n">
        <v>251.44</v>
      </c>
      <c r="E39" s="10" t="n">
        <v>15</v>
      </c>
      <c r="F39" s="10" t="n">
        <v>21</v>
      </c>
      <c r="G39" s="10" t="n">
        <v>3</v>
      </c>
      <c r="H39" s="10" t="n">
        <v>13</v>
      </c>
      <c r="I39" s="10" t="n">
        <v>3</v>
      </c>
      <c r="J39" s="10" t="n">
        <v>2</v>
      </c>
    </row>
    <row r="40">
      <c r="A40" t="inlineStr">
        <is>
          <t>SP-1038</t>
        </is>
      </c>
      <c r="B40" t="inlineStr">
        <is>
          <t>Ventilador axial 400 mm</t>
        </is>
      </c>
      <c r="C40" t="inlineStr">
        <is>
          <t>Ventilacion</t>
        </is>
      </c>
      <c r="D40" s="9" t="n">
        <v>377.91</v>
      </c>
      <c r="E40" s="10" t="n">
        <v>23</v>
      </c>
      <c r="F40" s="10" t="n">
        <v>61</v>
      </c>
      <c r="G40" s="10" t="n">
        <v>3</v>
      </c>
      <c r="H40" s="10" t="n">
        <v>23</v>
      </c>
      <c r="I40" s="10" t="n">
        <v>2</v>
      </c>
      <c r="J40" s="10" t="n">
        <v>0</v>
      </c>
    </row>
    <row r="41">
      <c r="A41" t="inlineStr">
        <is>
          <t>SP-1039</t>
        </is>
      </c>
      <c r="B41" t="inlineStr">
        <is>
          <t>Intercambiador de placas (placa)</t>
        </is>
      </c>
      <c r="C41" t="inlineStr">
        <is>
          <t>Termico</t>
        </is>
      </c>
      <c r="D41" s="9" t="n">
        <v>125.33</v>
      </c>
      <c r="E41" s="10" t="n">
        <v>62</v>
      </c>
      <c r="F41" s="10" t="n">
        <v>55</v>
      </c>
      <c r="G41" s="10" t="n">
        <v>4</v>
      </c>
      <c r="H41" s="10" t="n">
        <v>11</v>
      </c>
      <c r="I41" s="10" t="n">
        <v>2</v>
      </c>
      <c r="J41" s="10" t="n">
        <v>13</v>
      </c>
    </row>
    <row r="42">
      <c r="A42" t="inlineStr">
        <is>
          <t>SP-1040</t>
        </is>
      </c>
      <c r="B42" t="inlineStr">
        <is>
          <t>Rodamiento rigido de bolas 6210 (var. 2)</t>
        </is>
      </c>
      <c r="C42" t="inlineStr">
        <is>
          <t>Rodamientos</t>
        </is>
      </c>
      <c r="D42" s="9" t="n">
        <v>122.09</v>
      </c>
      <c r="E42" s="10" t="n">
        <v>28</v>
      </c>
      <c r="F42" s="10" t="n">
        <v>10</v>
      </c>
      <c r="G42" s="10" t="n">
        <v>4</v>
      </c>
      <c r="H42" s="10" t="n">
        <v>22</v>
      </c>
      <c r="I42" s="10" t="n">
        <v>2</v>
      </c>
      <c r="J42" s="10" t="n">
        <v>16</v>
      </c>
    </row>
    <row r="43">
      <c r="A43" t="inlineStr">
        <is>
          <t>SP-1041</t>
        </is>
      </c>
      <c r="B43" t="inlineStr">
        <is>
          <t>Rodamiento a rodillos conicos 32216 (var. 2)</t>
        </is>
      </c>
      <c r="C43" t="inlineStr">
        <is>
          <t>Rodamientos</t>
        </is>
      </c>
      <c r="D43" s="9" t="n">
        <v>316.53</v>
      </c>
      <c r="E43" s="10" t="n">
        <v>31</v>
      </c>
      <c r="F43" s="10" t="n">
        <v>26</v>
      </c>
      <c r="G43" s="10" t="n">
        <v>3</v>
      </c>
      <c r="H43" s="10" t="n">
        <v>27</v>
      </c>
      <c r="I43" s="10" t="n">
        <v>2</v>
      </c>
      <c r="J43" s="10" t="n">
        <v>11</v>
      </c>
    </row>
    <row r="44">
      <c r="A44" t="inlineStr">
        <is>
          <t>SP-1042</t>
        </is>
      </c>
      <c r="B44" t="inlineStr">
        <is>
          <t>Sello mecanico bomba centrifuga 3x2 (var. 2)</t>
        </is>
      </c>
      <c r="C44" t="inlineStr">
        <is>
          <t>Sellos</t>
        </is>
      </c>
      <c r="D44" s="9" t="n">
        <v>515.72</v>
      </c>
      <c r="E44" s="10" t="n">
        <v>20</v>
      </c>
      <c r="F44" s="10" t="n">
        <v>31</v>
      </c>
      <c r="G44" s="10" t="n">
        <v>5</v>
      </c>
      <c r="H44" s="10" t="n">
        <v>40</v>
      </c>
      <c r="I44" s="10" t="n">
        <v>1</v>
      </c>
      <c r="J44" s="10" t="n">
        <v>10</v>
      </c>
    </row>
    <row r="45">
      <c r="A45" t="inlineStr">
        <is>
          <t>SP-1043</t>
        </is>
      </c>
      <c r="B45" t="inlineStr">
        <is>
          <t>Sello mecanico cartucho API 682 (var. 2)</t>
        </is>
      </c>
      <c r="C45" t="inlineStr">
        <is>
          <t>Sellos</t>
        </is>
      </c>
      <c r="D45" s="9" t="n">
        <v>1652.57</v>
      </c>
      <c r="E45" s="10" t="n">
        <v>10</v>
      </c>
      <c r="F45" s="10" t="n">
        <v>95</v>
      </c>
      <c r="G45" s="10" t="n">
        <v>5</v>
      </c>
      <c r="H45" s="10" t="n">
        <v>30</v>
      </c>
      <c r="I45" s="10" t="n">
        <v>1</v>
      </c>
      <c r="J45" s="10" t="n">
        <v>0</v>
      </c>
    </row>
    <row r="46">
      <c r="A46" t="inlineStr">
        <is>
          <t>SP-1044</t>
        </is>
      </c>
      <c r="B46" t="inlineStr">
        <is>
          <t>Correa en V C-120 (var. 2)</t>
        </is>
      </c>
      <c r="C46" t="inlineStr">
        <is>
          <t>Transmision</t>
        </is>
      </c>
      <c r="D46" s="9" t="n">
        <v>43.02</v>
      </c>
      <c r="E46" s="10" t="n">
        <v>26</v>
      </c>
      <c r="F46" s="10" t="n">
        <v>11</v>
      </c>
      <c r="G46" s="10" t="n">
        <v>2</v>
      </c>
      <c r="H46" s="10" t="n">
        <v>12</v>
      </c>
      <c r="I46" s="10" t="n">
        <v>4</v>
      </c>
      <c r="J46" s="10" t="n">
        <v>13</v>
      </c>
    </row>
    <row r="47">
      <c r="A47" t="inlineStr">
        <is>
          <t>SP-1045</t>
        </is>
      </c>
      <c r="B47" t="inlineStr">
        <is>
          <t>Correa dentada HTD 8M-1600 (var. 2)</t>
        </is>
      </c>
      <c r="C47" t="inlineStr">
        <is>
          <t>Transmision</t>
        </is>
      </c>
      <c r="D47" s="9" t="n">
        <v>182.15</v>
      </c>
      <c r="E47" s="10" t="n">
        <v>12</v>
      </c>
      <c r="F47" s="10" t="n">
        <v>25</v>
      </c>
      <c r="G47" s="10" t="n">
        <v>3</v>
      </c>
      <c r="H47" s="10" t="n">
        <v>29</v>
      </c>
      <c r="I47" s="10" t="n">
        <v>2</v>
      </c>
      <c r="J47" s="10" t="n">
        <v>4</v>
      </c>
    </row>
    <row r="48">
      <c r="A48" t="inlineStr">
        <is>
          <t>SP-1046</t>
        </is>
      </c>
      <c r="B48" t="inlineStr">
        <is>
          <t>Filtro hidraulico 10 micrones (var. 2)</t>
        </is>
      </c>
      <c r="C48" t="inlineStr">
        <is>
          <t>Filtracion</t>
        </is>
      </c>
      <c r="D48" s="9" t="n">
        <v>54.58</v>
      </c>
      <c r="E48" s="10" t="n">
        <v>65</v>
      </c>
      <c r="F48" s="10" t="n">
        <v>19</v>
      </c>
      <c r="G48" s="10" t="n">
        <v>3</v>
      </c>
      <c r="H48" s="10" t="n">
        <v>34</v>
      </c>
      <c r="I48" s="10" t="n">
        <v>4</v>
      </c>
      <c r="J48" s="10" t="n">
        <v>9</v>
      </c>
    </row>
    <row r="49">
      <c r="A49" t="inlineStr">
        <is>
          <t>SP-1047</t>
        </is>
      </c>
      <c r="B49" t="inlineStr">
        <is>
          <t>Cartucho filtrante 5 um 40" (var. 2)</t>
        </is>
      </c>
      <c r="C49" t="inlineStr">
        <is>
          <t>Filtracion</t>
        </is>
      </c>
      <c r="D49" s="9" t="n">
        <v>20.56</v>
      </c>
      <c r="E49" s="10" t="n">
        <v>59</v>
      </c>
      <c r="F49" s="10" t="n">
        <v>22</v>
      </c>
      <c r="G49" s="10" t="n">
        <v>3</v>
      </c>
      <c r="H49" s="10" t="n">
        <v>6</v>
      </c>
      <c r="I49" s="10" t="n">
        <v>5</v>
      </c>
      <c r="J49" s="10" t="n">
        <v>15</v>
      </c>
    </row>
    <row r="50">
      <c r="A50" t="inlineStr">
        <is>
          <t>SP-1048</t>
        </is>
      </c>
      <c r="B50" t="inlineStr">
        <is>
          <t>Membrana osmosis inversa 8040 (var. 2)</t>
        </is>
      </c>
      <c r="C50" t="inlineStr">
        <is>
          <t>Tratamiento</t>
        </is>
      </c>
      <c r="D50" s="9" t="n">
        <v>767.5700000000001</v>
      </c>
      <c r="E50" s="10" t="n">
        <v>18</v>
      </c>
      <c r="F50" s="10" t="n">
        <v>94</v>
      </c>
      <c r="G50" s="10" t="n">
        <v>5</v>
      </c>
      <c r="H50" s="10" t="n">
        <v>45</v>
      </c>
      <c r="I50" s="10" t="n">
        <v>1</v>
      </c>
      <c r="J50" s="10" t="n">
        <v>0</v>
      </c>
    </row>
    <row r="51">
      <c r="A51" t="inlineStr">
        <is>
          <t>SP-1049</t>
        </is>
      </c>
      <c r="B51" t="inlineStr">
        <is>
          <t>Resina cationica fuerte (saco 25L) (var. 2)</t>
        </is>
      </c>
      <c r="C51" t="inlineStr">
        <is>
          <t>Tratamiento</t>
        </is>
      </c>
      <c r="D51" s="9" t="n">
        <v>246.52</v>
      </c>
      <c r="E51" s="10" t="n">
        <v>37</v>
      </c>
      <c r="F51" s="10" t="n">
        <v>49</v>
      </c>
      <c r="G51" s="10" t="n">
        <v>4</v>
      </c>
      <c r="H51" s="10" t="n">
        <v>41</v>
      </c>
      <c r="I51" s="10" t="n">
        <v>2</v>
      </c>
      <c r="J51" s="10" t="n">
        <v>19</v>
      </c>
    </row>
    <row r="52">
      <c r="A52" t="inlineStr">
        <is>
          <t>SP-1050</t>
        </is>
      </c>
      <c r="B52" t="inlineStr">
        <is>
          <t>Valvula mariposa DN150 wafer (var. 2)</t>
        </is>
      </c>
      <c r="C52" t="inlineStr">
        <is>
          <t>Valvulas</t>
        </is>
      </c>
      <c r="D52" s="9" t="n">
        <v>605.6799999999999</v>
      </c>
      <c r="E52" s="10" t="n">
        <v>22</v>
      </c>
      <c r="F52" s="10" t="n">
        <v>51</v>
      </c>
      <c r="G52" s="10" t="n">
        <v>4</v>
      </c>
      <c r="H52" s="10" t="n">
        <v>32</v>
      </c>
      <c r="I52" s="10" t="n">
        <v>3</v>
      </c>
      <c r="J52" s="10" t="n">
        <v>10</v>
      </c>
    </row>
    <row r="53">
      <c r="A53" t="inlineStr">
        <is>
          <t>SP-1051</t>
        </is>
      </c>
      <c r="B53" t="inlineStr">
        <is>
          <t>Valvula de bola inox 2" 3 piezas (var. 2)</t>
        </is>
      </c>
      <c r="C53" t="inlineStr">
        <is>
          <t>Valvulas</t>
        </is>
      </c>
      <c r="D53" s="9" t="n">
        <v>273.24</v>
      </c>
      <c r="E53" s="10" t="n">
        <v>33</v>
      </c>
      <c r="F53" s="10" t="n">
        <v>30</v>
      </c>
      <c r="G53" s="10" t="n">
        <v>3</v>
      </c>
      <c r="H53" s="10" t="n">
        <v>11</v>
      </c>
      <c r="I53" s="10" t="n">
        <v>4</v>
      </c>
      <c r="J53" s="10" t="n">
        <v>5</v>
      </c>
    </row>
    <row r="54">
      <c r="A54" t="inlineStr">
        <is>
          <t>SP-1052</t>
        </is>
      </c>
      <c r="B54" t="inlineStr">
        <is>
          <t>Actuador neumatico doble efecto (var. 2)</t>
        </is>
      </c>
      <c r="C54" t="inlineStr">
        <is>
          <t>Valvulas</t>
        </is>
      </c>
      <c r="D54" s="9" t="n">
        <v>1253.78</v>
      </c>
      <c r="E54" s="10" t="n">
        <v>13</v>
      </c>
      <c r="F54" s="10" t="n">
        <v>35</v>
      </c>
      <c r="G54" s="10" t="n">
        <v>4</v>
      </c>
      <c r="H54" s="10" t="n">
        <v>41</v>
      </c>
      <c r="I54" s="10" t="n">
        <v>2</v>
      </c>
      <c r="J54" s="10" t="n">
        <v>0</v>
      </c>
    </row>
    <row r="55">
      <c r="A55" t="inlineStr">
        <is>
          <t>SP-1053</t>
        </is>
      </c>
      <c r="B55" t="inlineStr">
        <is>
          <t>Motor electrico 15 kW 4 polos (var. 2)</t>
        </is>
      </c>
      <c r="C55" t="inlineStr">
        <is>
          <t>Motores</t>
        </is>
      </c>
      <c r="D55" s="9" t="n">
        <v>3025.03</v>
      </c>
      <c r="E55" s="10" t="n">
        <v>4</v>
      </c>
      <c r="F55" s="10" t="n">
        <v>71</v>
      </c>
      <c r="G55" s="10" t="n">
        <v>5</v>
      </c>
      <c r="H55" s="10" t="n">
        <v>26</v>
      </c>
      <c r="I55" s="10" t="n">
        <v>2</v>
      </c>
      <c r="J55" s="10" t="n">
        <v>0</v>
      </c>
    </row>
    <row r="56">
      <c r="A56" t="inlineStr">
        <is>
          <t>SP-1054</t>
        </is>
      </c>
      <c r="B56" t="inlineStr">
        <is>
          <t>Motor electrico 55 kW 4 polos (var. 2)</t>
        </is>
      </c>
      <c r="C56" t="inlineStr">
        <is>
          <t>Motores</t>
        </is>
      </c>
      <c r="D56" s="9" t="n">
        <v>5910.8</v>
      </c>
      <c r="E56" s="10" t="n">
        <v>2</v>
      </c>
      <c r="F56" s="10" t="n">
        <v>79</v>
      </c>
      <c r="G56" s="10" t="n">
        <v>5</v>
      </c>
      <c r="H56" s="10" t="n">
        <v>46</v>
      </c>
      <c r="I56" s="10" t="n">
        <v>1</v>
      </c>
      <c r="J56" s="10" t="n">
        <v>1</v>
      </c>
    </row>
    <row r="57">
      <c r="A57" t="inlineStr">
        <is>
          <t>SP-1055</t>
        </is>
      </c>
      <c r="B57" t="inlineStr">
        <is>
          <t>Bomba centrifuga 65-200 (repuesto) (var. 2)</t>
        </is>
      </c>
      <c r="C57" t="inlineStr">
        <is>
          <t>Bombas</t>
        </is>
      </c>
      <c r="D57" s="9" t="n">
        <v>7976.79</v>
      </c>
      <c r="E57" s="10" t="n">
        <v>7</v>
      </c>
      <c r="F57" s="10" t="n">
        <v>126</v>
      </c>
      <c r="G57" s="10" t="n">
        <v>5</v>
      </c>
      <c r="H57" s="10" t="n">
        <v>24</v>
      </c>
      <c r="I57" s="10" t="n">
        <v>1</v>
      </c>
      <c r="J57" s="10" t="n">
        <v>3</v>
      </c>
    </row>
    <row r="58">
      <c r="A58" t="inlineStr">
        <is>
          <t>SP-1056</t>
        </is>
      </c>
      <c r="B58" t="inlineStr">
        <is>
          <t>Impulsor bomba 65-200 (var. 2)</t>
        </is>
      </c>
      <c r="C58" t="inlineStr">
        <is>
          <t>Bombas</t>
        </is>
      </c>
      <c r="D58" s="9" t="n">
        <v>1414.54</v>
      </c>
      <c r="E58" s="10" t="n">
        <v>14</v>
      </c>
      <c r="F58" s="10" t="n">
        <v>89</v>
      </c>
      <c r="G58" s="10" t="n">
        <v>5</v>
      </c>
      <c r="H58" s="10" t="n">
        <v>22</v>
      </c>
      <c r="I58" s="10" t="n">
        <v>2</v>
      </c>
      <c r="J58" s="10" t="n">
        <v>2</v>
      </c>
    </row>
    <row r="59">
      <c r="A59" t="inlineStr">
        <is>
          <t>SP-1057</t>
        </is>
      </c>
      <c r="B59" t="inlineStr">
        <is>
          <t>Variador de frecuencia 22 kW (var. 2)</t>
        </is>
      </c>
      <c r="C59" t="inlineStr">
        <is>
          <t>Electrico</t>
        </is>
      </c>
      <c r="D59" s="9" t="n">
        <v>4060.66</v>
      </c>
      <c r="E59" s="10" t="n">
        <v>3</v>
      </c>
      <c r="F59" s="10" t="n">
        <v>63</v>
      </c>
      <c r="G59" s="10" t="n">
        <v>5</v>
      </c>
      <c r="H59" s="10" t="n">
        <v>27</v>
      </c>
      <c r="I59" s="10" t="n">
        <v>1</v>
      </c>
      <c r="J59" s="10" t="n">
        <v>3</v>
      </c>
    </row>
    <row r="60">
      <c r="A60" t="inlineStr">
        <is>
          <t>SP-1058</t>
        </is>
      </c>
      <c r="B60" t="inlineStr">
        <is>
          <t>Contactor tripolar 65 A (var. 2)</t>
        </is>
      </c>
      <c r="C60" t="inlineStr">
        <is>
          <t>Electrico</t>
        </is>
      </c>
      <c r="D60" s="9" t="n">
        <v>154.06</v>
      </c>
      <c r="E60" s="10" t="n">
        <v>20</v>
      </c>
      <c r="F60" s="10" t="n">
        <v>22</v>
      </c>
      <c r="G60" s="10" t="n">
        <v>3</v>
      </c>
      <c r="H60" s="10" t="n">
        <v>12</v>
      </c>
      <c r="I60" s="10" t="n">
        <v>3</v>
      </c>
      <c r="J60" s="10" t="n">
        <v>4</v>
      </c>
    </row>
    <row r="61">
      <c r="A61" t="inlineStr">
        <is>
          <t>SP-1059</t>
        </is>
      </c>
      <c r="B61" t="inlineStr">
        <is>
          <t>Rele termico 30-40 A (var. 2)</t>
        </is>
      </c>
      <c r="C61" t="inlineStr">
        <is>
          <t>Electrico</t>
        </is>
      </c>
      <c r="D61" s="9" t="n">
        <v>79.88</v>
      </c>
      <c r="E61" s="10" t="n">
        <v>14</v>
      </c>
      <c r="F61" s="10" t="n">
        <v>13</v>
      </c>
      <c r="G61" s="10" t="n">
        <v>3</v>
      </c>
      <c r="H61" s="10" t="n">
        <v>25</v>
      </c>
      <c r="I61" s="10" t="n">
        <v>3</v>
      </c>
      <c r="J61" s="10" t="n">
        <v>3</v>
      </c>
    </row>
    <row r="62">
      <c r="D62" s="9" t="n"/>
      <c r="E62" s="10" t="n"/>
      <c r="F62" s="10" t="n"/>
      <c r="G62" s="10" t="n"/>
      <c r="H62" s="10" t="n"/>
      <c r="I62" s="10" t="n"/>
      <c r="J62" s="10" t="n"/>
    </row>
    <row r="63">
      <c r="D63" s="9" t="n"/>
      <c r="E63" s="10" t="n"/>
      <c r="F63" s="10" t="n"/>
      <c r="G63" s="10" t="n"/>
      <c r="H63" s="10" t="n"/>
      <c r="I63" s="10" t="n"/>
      <c r="J63" s="10" t="n"/>
    </row>
    <row r="64">
      <c r="D64" s="9" t="n"/>
      <c r="E64" s="10" t="n"/>
      <c r="F64" s="10" t="n"/>
      <c r="G64" s="10" t="n"/>
      <c r="H64" s="10" t="n"/>
      <c r="I64" s="10" t="n"/>
      <c r="J64" s="10" t="n"/>
    </row>
    <row r="65">
      <c r="D65" s="9" t="n"/>
      <c r="E65" s="10" t="n"/>
      <c r="F65" s="10" t="n"/>
      <c r="G65" s="10" t="n"/>
      <c r="H65" s="10" t="n"/>
      <c r="I65" s="10" t="n"/>
      <c r="J65" s="10" t="n"/>
    </row>
    <row r="66">
      <c r="D66" s="9" t="n"/>
      <c r="E66" s="10" t="n"/>
      <c r="F66" s="10" t="n"/>
      <c r="G66" s="10" t="n"/>
      <c r="H66" s="10" t="n"/>
      <c r="I66" s="10" t="n"/>
      <c r="J66" s="10" t="n"/>
    </row>
    <row r="67">
      <c r="D67" s="9" t="n"/>
      <c r="E67" s="10" t="n"/>
      <c r="F67" s="10" t="n"/>
      <c r="G67" s="10" t="n"/>
      <c r="H67" s="10" t="n"/>
      <c r="I67" s="10" t="n"/>
      <c r="J67" s="10" t="n"/>
    </row>
    <row r="68">
      <c r="D68" s="9" t="n"/>
      <c r="E68" s="10" t="n"/>
      <c r="F68" s="10" t="n"/>
      <c r="G68" s="10" t="n"/>
      <c r="H68" s="10" t="n"/>
      <c r="I68" s="10" t="n"/>
      <c r="J68" s="10" t="n"/>
    </row>
    <row r="69">
      <c r="D69" s="9" t="n"/>
      <c r="E69" s="10" t="n"/>
      <c r="F69" s="10" t="n"/>
      <c r="G69" s="10" t="n"/>
      <c r="H69" s="10" t="n"/>
      <c r="I69" s="10" t="n"/>
      <c r="J69" s="10" t="n"/>
    </row>
    <row r="70">
      <c r="D70" s="9" t="n"/>
      <c r="E70" s="10" t="n"/>
      <c r="F70" s="10" t="n"/>
      <c r="G70" s="10" t="n"/>
      <c r="H70" s="10" t="n"/>
      <c r="I70" s="10" t="n"/>
      <c r="J70" s="10" t="n"/>
    </row>
    <row r="71">
      <c r="D71" s="9" t="n"/>
      <c r="E71" s="10" t="n"/>
      <c r="F71" s="10" t="n"/>
      <c r="G71" s="10" t="n"/>
      <c r="H71" s="10" t="n"/>
      <c r="I71" s="10" t="n"/>
      <c r="J71" s="10" t="n"/>
    </row>
    <row r="72">
      <c r="D72" s="9" t="n"/>
      <c r="E72" s="10" t="n"/>
      <c r="F72" s="10" t="n"/>
      <c r="G72" s="10" t="n"/>
      <c r="H72" s="10" t="n"/>
      <c r="I72" s="10" t="n"/>
      <c r="J72" s="10" t="n"/>
    </row>
    <row r="73">
      <c r="D73" s="9" t="n"/>
      <c r="E73" s="10" t="n"/>
      <c r="F73" s="10" t="n"/>
      <c r="G73" s="10" t="n"/>
      <c r="H73" s="10" t="n"/>
      <c r="I73" s="10" t="n"/>
      <c r="J73" s="10" t="n"/>
    </row>
    <row r="74">
      <c r="D74" s="9" t="n"/>
      <c r="E74" s="10" t="n"/>
      <c r="F74" s="10" t="n"/>
      <c r="G74" s="10" t="n"/>
      <c r="H74" s="10" t="n"/>
      <c r="I74" s="10" t="n"/>
      <c r="J74" s="10" t="n"/>
    </row>
    <row r="75">
      <c r="D75" s="9" t="n"/>
      <c r="E75" s="10" t="n"/>
      <c r="F75" s="10" t="n"/>
      <c r="G75" s="10" t="n"/>
      <c r="H75" s="10" t="n"/>
      <c r="I75" s="10" t="n"/>
      <c r="J75" s="10" t="n"/>
    </row>
    <row r="76">
      <c r="D76" s="9" t="n"/>
      <c r="E76" s="10" t="n"/>
      <c r="F76" s="10" t="n"/>
      <c r="G76" s="10" t="n"/>
      <c r="H76" s="10" t="n"/>
      <c r="I76" s="10" t="n"/>
      <c r="J76" s="10" t="n"/>
    </row>
    <row r="77">
      <c r="D77" s="9" t="n"/>
      <c r="E77" s="10" t="n"/>
      <c r="F77" s="10" t="n"/>
      <c r="G77" s="10" t="n"/>
      <c r="H77" s="10" t="n"/>
      <c r="I77" s="10" t="n"/>
      <c r="J77" s="10" t="n"/>
    </row>
    <row r="78">
      <c r="D78" s="9" t="n"/>
      <c r="E78" s="10" t="n"/>
      <c r="F78" s="10" t="n"/>
      <c r="G78" s="10" t="n"/>
      <c r="H78" s="10" t="n"/>
      <c r="I78" s="10" t="n"/>
      <c r="J78" s="10" t="n"/>
    </row>
    <row r="79">
      <c r="D79" s="9" t="n"/>
      <c r="E79" s="10" t="n"/>
      <c r="F79" s="10" t="n"/>
      <c r="G79" s="10" t="n"/>
      <c r="H79" s="10" t="n"/>
      <c r="I79" s="10" t="n"/>
      <c r="J79" s="10" t="n"/>
    </row>
    <row r="80">
      <c r="D80" s="9" t="n"/>
      <c r="E80" s="10" t="n"/>
      <c r="F80" s="10" t="n"/>
      <c r="G80" s="10" t="n"/>
      <c r="H80" s="10" t="n"/>
      <c r="I80" s="10" t="n"/>
      <c r="J80" s="10" t="n"/>
    </row>
    <row r="81">
      <c r="D81" s="9" t="n"/>
      <c r="E81" s="10" t="n"/>
      <c r="F81" s="10" t="n"/>
      <c r="G81" s="10" t="n"/>
      <c r="H81" s="10" t="n"/>
      <c r="I81" s="10" t="n"/>
      <c r="J81" s="10" t="n"/>
    </row>
    <row r="82">
      <c r="D82" s="9" t="n"/>
      <c r="E82" s="10" t="n"/>
      <c r="F82" s="10" t="n"/>
      <c r="G82" s="10" t="n"/>
      <c r="H82" s="10" t="n"/>
      <c r="I82" s="10" t="n"/>
      <c r="J82" s="10" t="n"/>
    </row>
    <row r="83">
      <c r="D83" s="9" t="n"/>
      <c r="E83" s="10" t="n"/>
      <c r="F83" s="10" t="n"/>
      <c r="G83" s="10" t="n"/>
      <c r="H83" s="10" t="n"/>
      <c r="I83" s="10" t="n"/>
      <c r="J83" s="10" t="n"/>
    </row>
    <row r="84">
      <c r="D84" s="9" t="n"/>
      <c r="E84" s="10" t="n"/>
      <c r="F84" s="10" t="n"/>
      <c r="G84" s="10" t="n"/>
      <c r="H84" s="10" t="n"/>
      <c r="I84" s="10" t="n"/>
      <c r="J84" s="10" t="n"/>
    </row>
    <row r="85">
      <c r="D85" s="9" t="n"/>
      <c r="E85" s="10" t="n"/>
      <c r="F85" s="10" t="n"/>
      <c r="G85" s="10" t="n"/>
      <c r="H85" s="10" t="n"/>
      <c r="I85" s="10" t="n"/>
      <c r="J85" s="10" t="n"/>
    </row>
    <row r="86">
      <c r="D86" s="9" t="n"/>
      <c r="E86" s="10" t="n"/>
      <c r="F86" s="10" t="n"/>
      <c r="G86" s="10" t="n"/>
      <c r="H86" s="10" t="n"/>
      <c r="I86" s="10" t="n"/>
      <c r="J86" s="10" t="n"/>
    </row>
    <row r="87">
      <c r="D87" s="9" t="n"/>
      <c r="E87" s="10" t="n"/>
      <c r="F87" s="10" t="n"/>
      <c r="G87" s="10" t="n"/>
      <c r="H87" s="10" t="n"/>
      <c r="I87" s="10" t="n"/>
      <c r="J87" s="10" t="n"/>
    </row>
    <row r="88">
      <c r="D88" s="9" t="n"/>
      <c r="E88" s="10" t="n"/>
      <c r="F88" s="10" t="n"/>
      <c r="G88" s="10" t="n"/>
      <c r="H88" s="10" t="n"/>
      <c r="I88" s="10" t="n"/>
      <c r="J88" s="10" t="n"/>
    </row>
    <row r="89">
      <c r="D89" s="9" t="n"/>
      <c r="E89" s="10" t="n"/>
      <c r="F89" s="10" t="n"/>
      <c r="G89" s="10" t="n"/>
      <c r="H89" s="10" t="n"/>
      <c r="I89" s="10" t="n"/>
      <c r="J89" s="10" t="n"/>
    </row>
    <row r="90">
      <c r="D90" s="9" t="n"/>
      <c r="E90" s="10" t="n"/>
      <c r="F90" s="10" t="n"/>
      <c r="G90" s="10" t="n"/>
      <c r="H90" s="10" t="n"/>
      <c r="I90" s="10" t="n"/>
      <c r="J90" s="10" t="n"/>
    </row>
    <row r="91">
      <c r="D91" s="9" t="n"/>
      <c r="E91" s="10" t="n"/>
      <c r="F91" s="10" t="n"/>
      <c r="G91" s="10" t="n"/>
      <c r="H91" s="10" t="n"/>
      <c r="I91" s="10" t="n"/>
      <c r="J91" s="10" t="n"/>
    </row>
    <row r="92">
      <c r="D92" s="9" t="n"/>
      <c r="E92" s="10" t="n"/>
      <c r="F92" s="10" t="n"/>
      <c r="G92" s="10" t="n"/>
      <c r="H92" s="10" t="n"/>
      <c r="I92" s="10" t="n"/>
      <c r="J92" s="10" t="n"/>
    </row>
    <row r="93">
      <c r="D93" s="9" t="n"/>
      <c r="E93" s="10" t="n"/>
      <c r="F93" s="10" t="n"/>
      <c r="G93" s="10" t="n"/>
      <c r="H93" s="10" t="n"/>
      <c r="I93" s="10" t="n"/>
      <c r="J93" s="10" t="n"/>
    </row>
    <row r="94">
      <c r="D94" s="9" t="n"/>
      <c r="E94" s="10" t="n"/>
      <c r="F94" s="10" t="n"/>
      <c r="G94" s="10" t="n"/>
      <c r="H94" s="10" t="n"/>
      <c r="I94" s="10" t="n"/>
      <c r="J94" s="10" t="n"/>
    </row>
    <row r="95">
      <c r="D95" s="9" t="n"/>
      <c r="E95" s="10" t="n"/>
      <c r="F95" s="10" t="n"/>
      <c r="G95" s="10" t="n"/>
      <c r="H95" s="10" t="n"/>
      <c r="I95" s="10" t="n"/>
      <c r="J95" s="10" t="n"/>
    </row>
    <row r="96">
      <c r="D96" s="9" t="n"/>
      <c r="E96" s="10" t="n"/>
      <c r="F96" s="10" t="n"/>
      <c r="G96" s="10" t="n"/>
      <c r="H96" s="10" t="n"/>
      <c r="I96" s="10" t="n"/>
      <c r="J96" s="10" t="n"/>
    </row>
    <row r="97">
      <c r="D97" s="9" t="n"/>
      <c r="E97" s="10" t="n"/>
      <c r="F97" s="10" t="n"/>
      <c r="G97" s="10" t="n"/>
      <c r="H97" s="10" t="n"/>
      <c r="I97" s="10" t="n"/>
      <c r="J97" s="10" t="n"/>
    </row>
    <row r="98">
      <c r="D98" s="9" t="n"/>
      <c r="E98" s="10" t="n"/>
      <c r="F98" s="10" t="n"/>
      <c r="G98" s="10" t="n"/>
      <c r="H98" s="10" t="n"/>
      <c r="I98" s="10" t="n"/>
      <c r="J98" s="10" t="n"/>
    </row>
    <row r="99">
      <c r="D99" s="9" t="n"/>
      <c r="E99" s="10" t="n"/>
      <c r="F99" s="10" t="n"/>
      <c r="G99" s="10" t="n"/>
      <c r="H99" s="10" t="n"/>
      <c r="I99" s="10" t="n"/>
      <c r="J99" s="10" t="n"/>
    </row>
    <row r="100">
      <c r="D100" s="9" t="n"/>
      <c r="E100" s="10" t="n"/>
      <c r="F100" s="10" t="n"/>
      <c r="G100" s="10" t="n"/>
      <c r="H100" s="10" t="n"/>
      <c r="I100" s="10" t="n"/>
      <c r="J100" s="10" t="n"/>
    </row>
    <row r="101">
      <c r="D101" s="9" t="n"/>
      <c r="E101" s="10" t="n"/>
      <c r="F101" s="10" t="n"/>
      <c r="G101" s="10" t="n"/>
      <c r="H101" s="10" t="n"/>
      <c r="I101" s="10" t="n"/>
      <c r="J101" s="10" t="n"/>
    </row>
    <row r="102">
      <c r="D102" s="9" t="n"/>
      <c r="E102" s="10" t="n"/>
      <c r="F102" s="10" t="n"/>
      <c r="G102" s="10" t="n"/>
      <c r="H102" s="10" t="n"/>
      <c r="I102" s="10" t="n"/>
      <c r="J102" s="10" t="n"/>
    </row>
    <row r="103">
      <c r="D103" s="9" t="n"/>
      <c r="E103" s="10" t="n"/>
      <c r="F103" s="10" t="n"/>
      <c r="G103" s="10" t="n"/>
      <c r="H103" s="10" t="n"/>
      <c r="I103" s="10" t="n"/>
      <c r="J103" s="10" t="n"/>
    </row>
    <row r="104">
      <c r="D104" s="9" t="n"/>
      <c r="E104" s="10" t="n"/>
      <c r="F104" s="10" t="n"/>
      <c r="G104" s="10" t="n"/>
      <c r="H104" s="10" t="n"/>
      <c r="I104" s="10" t="n"/>
      <c r="J104" s="10" t="n"/>
    </row>
    <row r="105">
      <c r="D105" s="9" t="n"/>
      <c r="E105" s="10" t="n"/>
      <c r="F105" s="10" t="n"/>
      <c r="G105" s="10" t="n"/>
      <c r="H105" s="10" t="n"/>
      <c r="I105" s="10" t="n"/>
      <c r="J105" s="10" t="n"/>
    </row>
    <row r="106">
      <c r="D106" s="9" t="n"/>
      <c r="E106" s="10" t="n"/>
      <c r="F106" s="10" t="n"/>
      <c r="G106" s="10" t="n"/>
      <c r="H106" s="10" t="n"/>
      <c r="I106" s="10" t="n"/>
      <c r="J106" s="10" t="n"/>
    </row>
    <row r="107">
      <c r="D107" s="9" t="n"/>
      <c r="E107" s="10" t="n"/>
      <c r="F107" s="10" t="n"/>
      <c r="G107" s="10" t="n"/>
      <c r="H107" s="10" t="n"/>
      <c r="I107" s="10" t="n"/>
      <c r="J107" s="10" t="n"/>
    </row>
    <row r="108">
      <c r="D108" s="9" t="n"/>
      <c r="E108" s="10" t="n"/>
      <c r="F108" s="10" t="n"/>
      <c r="G108" s="10" t="n"/>
      <c r="H108" s="10" t="n"/>
      <c r="I108" s="10" t="n"/>
      <c r="J108" s="10" t="n"/>
    </row>
    <row r="109">
      <c r="D109" s="9" t="n"/>
      <c r="E109" s="10" t="n"/>
      <c r="F109" s="10" t="n"/>
      <c r="G109" s="10" t="n"/>
      <c r="H109" s="10" t="n"/>
      <c r="I109" s="10" t="n"/>
      <c r="J109" s="10" t="n"/>
    </row>
    <row r="110">
      <c r="D110" s="9" t="n"/>
      <c r="E110" s="10" t="n"/>
      <c r="F110" s="10" t="n"/>
      <c r="G110" s="10" t="n"/>
      <c r="H110" s="10" t="n"/>
      <c r="I110" s="10" t="n"/>
      <c r="J110" s="10" t="n"/>
    </row>
    <row r="111">
      <c r="D111" s="9" t="n"/>
      <c r="E111" s="10" t="n"/>
      <c r="F111" s="10" t="n"/>
      <c r="G111" s="10" t="n"/>
      <c r="H111" s="10" t="n"/>
      <c r="I111" s="10" t="n"/>
      <c r="J111" s="10" t="n"/>
    </row>
    <row r="112">
      <c r="D112" s="9" t="n"/>
      <c r="E112" s="10" t="n"/>
      <c r="F112" s="10" t="n"/>
      <c r="G112" s="10" t="n"/>
      <c r="H112" s="10" t="n"/>
      <c r="I112" s="10" t="n"/>
      <c r="J112" s="10" t="n"/>
    </row>
    <row r="113">
      <c r="D113" s="9" t="n"/>
      <c r="E113" s="10" t="n"/>
      <c r="F113" s="10" t="n"/>
      <c r="G113" s="10" t="n"/>
      <c r="H113" s="10" t="n"/>
      <c r="I113" s="10" t="n"/>
      <c r="J113" s="10" t="n"/>
    </row>
    <row r="114">
      <c r="D114" s="9" t="n"/>
      <c r="E114" s="10" t="n"/>
      <c r="F114" s="10" t="n"/>
      <c r="G114" s="10" t="n"/>
      <c r="H114" s="10" t="n"/>
      <c r="I114" s="10" t="n"/>
      <c r="J114" s="10" t="n"/>
    </row>
    <row r="115">
      <c r="D115" s="9" t="n"/>
      <c r="E115" s="10" t="n"/>
      <c r="F115" s="10" t="n"/>
      <c r="G115" s="10" t="n"/>
      <c r="H115" s="10" t="n"/>
      <c r="I115" s="10" t="n"/>
      <c r="J115" s="10" t="n"/>
    </row>
    <row r="116">
      <c r="D116" s="9" t="n"/>
      <c r="E116" s="10" t="n"/>
      <c r="F116" s="10" t="n"/>
      <c r="G116" s="10" t="n"/>
      <c r="H116" s="10" t="n"/>
      <c r="I116" s="10" t="n"/>
      <c r="J116" s="10" t="n"/>
    </row>
    <row r="117">
      <c r="D117" s="9" t="n"/>
      <c r="E117" s="10" t="n"/>
      <c r="F117" s="10" t="n"/>
      <c r="G117" s="10" t="n"/>
      <c r="H117" s="10" t="n"/>
      <c r="I117" s="10" t="n"/>
      <c r="J117" s="10" t="n"/>
    </row>
    <row r="118">
      <c r="D118" s="9" t="n"/>
      <c r="E118" s="10" t="n"/>
      <c r="F118" s="10" t="n"/>
      <c r="G118" s="10" t="n"/>
      <c r="H118" s="10" t="n"/>
      <c r="I118" s="10" t="n"/>
      <c r="J118" s="10" t="n"/>
    </row>
    <row r="119">
      <c r="D119" s="9" t="n"/>
      <c r="E119" s="10" t="n"/>
      <c r="F119" s="10" t="n"/>
      <c r="G119" s="10" t="n"/>
      <c r="H119" s="10" t="n"/>
      <c r="I119" s="10" t="n"/>
      <c r="J119" s="10" t="n"/>
    </row>
    <row r="120">
      <c r="D120" s="9" t="n"/>
      <c r="E120" s="10" t="n"/>
      <c r="F120" s="10" t="n"/>
      <c r="G120" s="10" t="n"/>
      <c r="H120" s="10" t="n"/>
      <c r="I120" s="10" t="n"/>
      <c r="J120" s="10" t="n"/>
    </row>
    <row r="121">
      <c r="D121" s="9" t="n"/>
      <c r="E121" s="10" t="n"/>
      <c r="F121" s="10" t="n"/>
      <c r="G121" s="10" t="n"/>
      <c r="H121" s="10" t="n"/>
      <c r="I121" s="10" t="n"/>
      <c r="J121" s="10" t="n"/>
    </row>
    <row r="122">
      <c r="D122" s="9" t="n"/>
      <c r="E122" s="10" t="n"/>
      <c r="F122" s="10" t="n"/>
      <c r="G122" s="10" t="n"/>
      <c r="H122" s="10" t="n"/>
      <c r="I122" s="10" t="n"/>
      <c r="J122" s="10" t="n"/>
    </row>
    <row r="123">
      <c r="D123" s="9" t="n"/>
      <c r="E123" s="10" t="n"/>
      <c r="F123" s="10" t="n"/>
      <c r="G123" s="10" t="n"/>
      <c r="H123" s="10" t="n"/>
      <c r="I123" s="10" t="n"/>
      <c r="J123" s="10" t="n"/>
    </row>
    <row r="124">
      <c r="D124" s="9" t="n"/>
      <c r="E124" s="10" t="n"/>
      <c r="F124" s="10" t="n"/>
      <c r="G124" s="10" t="n"/>
      <c r="H124" s="10" t="n"/>
      <c r="I124" s="10" t="n"/>
      <c r="J124" s="10" t="n"/>
    </row>
    <row r="125">
      <c r="D125" s="9" t="n"/>
      <c r="E125" s="10" t="n"/>
      <c r="F125" s="10" t="n"/>
      <c r="G125" s="10" t="n"/>
      <c r="H125" s="10" t="n"/>
      <c r="I125" s="10" t="n"/>
      <c r="J125" s="10" t="n"/>
    </row>
    <row r="126">
      <c r="D126" s="9" t="n"/>
      <c r="E126" s="10" t="n"/>
      <c r="F126" s="10" t="n"/>
      <c r="G126" s="10" t="n"/>
      <c r="H126" s="10" t="n"/>
      <c r="I126" s="10" t="n"/>
      <c r="J126" s="10" t="n"/>
    </row>
    <row r="127">
      <c r="D127" s="9" t="n"/>
      <c r="E127" s="10" t="n"/>
      <c r="F127" s="10" t="n"/>
      <c r="G127" s="10" t="n"/>
      <c r="H127" s="10" t="n"/>
      <c r="I127" s="10" t="n"/>
      <c r="J127" s="10" t="n"/>
    </row>
    <row r="128">
      <c r="D128" s="9" t="n"/>
      <c r="E128" s="10" t="n"/>
      <c r="F128" s="10" t="n"/>
      <c r="G128" s="10" t="n"/>
      <c r="H128" s="10" t="n"/>
      <c r="I128" s="10" t="n"/>
      <c r="J128" s="10" t="n"/>
    </row>
    <row r="129">
      <c r="D129" s="9" t="n"/>
      <c r="E129" s="10" t="n"/>
      <c r="F129" s="10" t="n"/>
      <c r="G129" s="10" t="n"/>
      <c r="H129" s="10" t="n"/>
      <c r="I129" s="10" t="n"/>
      <c r="J129" s="10" t="n"/>
    </row>
    <row r="130">
      <c r="D130" s="9" t="n"/>
      <c r="E130" s="10" t="n"/>
      <c r="F130" s="10" t="n"/>
      <c r="G130" s="10" t="n"/>
      <c r="H130" s="10" t="n"/>
      <c r="I130" s="10" t="n"/>
      <c r="J130" s="10" t="n"/>
    </row>
    <row r="131">
      <c r="D131" s="9" t="n"/>
      <c r="E131" s="10" t="n"/>
      <c r="F131" s="10" t="n"/>
      <c r="G131" s="10" t="n"/>
      <c r="H131" s="10" t="n"/>
      <c r="I131" s="10" t="n"/>
      <c r="J131" s="10" t="n"/>
    </row>
    <row r="132">
      <c r="D132" s="9" t="n"/>
      <c r="E132" s="10" t="n"/>
      <c r="F132" s="10" t="n"/>
      <c r="G132" s="10" t="n"/>
      <c r="H132" s="10" t="n"/>
      <c r="I132" s="10" t="n"/>
      <c r="J132" s="10" t="n"/>
    </row>
    <row r="133">
      <c r="D133" s="9" t="n"/>
      <c r="E133" s="10" t="n"/>
      <c r="F133" s="10" t="n"/>
      <c r="G133" s="10" t="n"/>
      <c r="H133" s="10" t="n"/>
      <c r="I133" s="10" t="n"/>
      <c r="J133" s="10" t="n"/>
    </row>
    <row r="134">
      <c r="D134" s="9" t="n"/>
      <c r="E134" s="10" t="n"/>
      <c r="F134" s="10" t="n"/>
      <c r="G134" s="10" t="n"/>
      <c r="H134" s="10" t="n"/>
      <c r="I134" s="10" t="n"/>
      <c r="J134" s="10" t="n"/>
    </row>
    <row r="135">
      <c r="D135" s="9" t="n"/>
      <c r="E135" s="10" t="n"/>
      <c r="F135" s="10" t="n"/>
      <c r="G135" s="10" t="n"/>
      <c r="H135" s="10" t="n"/>
      <c r="I135" s="10" t="n"/>
      <c r="J135" s="10" t="n"/>
    </row>
    <row r="136">
      <c r="D136" s="9" t="n"/>
      <c r="E136" s="10" t="n"/>
      <c r="F136" s="10" t="n"/>
      <c r="G136" s="10" t="n"/>
      <c r="H136" s="10" t="n"/>
      <c r="I136" s="10" t="n"/>
      <c r="J136" s="10" t="n"/>
    </row>
    <row r="137">
      <c r="D137" s="9" t="n"/>
      <c r="E137" s="10" t="n"/>
      <c r="F137" s="10" t="n"/>
      <c r="G137" s="10" t="n"/>
      <c r="H137" s="10" t="n"/>
      <c r="I137" s="10" t="n"/>
      <c r="J137" s="10" t="n"/>
    </row>
    <row r="138">
      <c r="D138" s="9" t="n"/>
      <c r="E138" s="10" t="n"/>
      <c r="F138" s="10" t="n"/>
      <c r="G138" s="10" t="n"/>
      <c r="H138" s="10" t="n"/>
      <c r="I138" s="10" t="n"/>
      <c r="J138" s="10" t="n"/>
    </row>
    <row r="139">
      <c r="D139" s="9" t="n"/>
      <c r="E139" s="10" t="n"/>
      <c r="F139" s="10" t="n"/>
      <c r="G139" s="10" t="n"/>
      <c r="H139" s="10" t="n"/>
      <c r="I139" s="10" t="n"/>
      <c r="J139" s="10" t="n"/>
    </row>
    <row r="140">
      <c r="D140" s="9" t="n"/>
      <c r="E140" s="10" t="n"/>
      <c r="F140" s="10" t="n"/>
      <c r="G140" s="10" t="n"/>
      <c r="H140" s="10" t="n"/>
      <c r="I140" s="10" t="n"/>
      <c r="J140" s="10" t="n"/>
    </row>
    <row r="141">
      <c r="D141" s="9" t="n"/>
      <c r="E141" s="10" t="n"/>
      <c r="F141" s="10" t="n"/>
      <c r="G141" s="10" t="n"/>
      <c r="H141" s="10" t="n"/>
      <c r="I141" s="10" t="n"/>
      <c r="J141" s="10" t="n"/>
    </row>
    <row r="142">
      <c r="D142" s="9" t="n"/>
      <c r="E142" s="10" t="n"/>
      <c r="F142" s="10" t="n"/>
      <c r="G142" s="10" t="n"/>
      <c r="H142" s="10" t="n"/>
      <c r="I142" s="10" t="n"/>
      <c r="J142" s="10" t="n"/>
    </row>
    <row r="143">
      <c r="D143" s="9" t="n"/>
      <c r="E143" s="10" t="n"/>
      <c r="F143" s="10" t="n"/>
      <c r="G143" s="10" t="n"/>
      <c r="H143" s="10" t="n"/>
      <c r="I143" s="10" t="n"/>
      <c r="J143" s="10" t="n"/>
    </row>
    <row r="144">
      <c r="D144" s="9" t="n"/>
      <c r="E144" s="10" t="n"/>
      <c r="F144" s="10" t="n"/>
      <c r="G144" s="10" t="n"/>
      <c r="H144" s="10" t="n"/>
      <c r="I144" s="10" t="n"/>
      <c r="J144" s="10" t="n"/>
    </row>
    <row r="145">
      <c r="D145" s="9" t="n"/>
      <c r="E145" s="10" t="n"/>
      <c r="F145" s="10" t="n"/>
      <c r="G145" s="10" t="n"/>
      <c r="H145" s="10" t="n"/>
      <c r="I145" s="10" t="n"/>
      <c r="J145" s="10" t="n"/>
    </row>
    <row r="146">
      <c r="D146" s="9" t="n"/>
      <c r="E146" s="10" t="n"/>
      <c r="F146" s="10" t="n"/>
      <c r="G146" s="10" t="n"/>
      <c r="H146" s="10" t="n"/>
      <c r="I146" s="10" t="n"/>
      <c r="J146" s="10" t="n"/>
    </row>
    <row r="147">
      <c r="D147" s="9" t="n"/>
      <c r="E147" s="10" t="n"/>
      <c r="F147" s="10" t="n"/>
      <c r="G147" s="10" t="n"/>
      <c r="H147" s="10" t="n"/>
      <c r="I147" s="10" t="n"/>
      <c r="J147" s="10" t="n"/>
    </row>
    <row r="148">
      <c r="D148" s="9" t="n"/>
      <c r="E148" s="10" t="n"/>
      <c r="F148" s="10" t="n"/>
      <c r="G148" s="10" t="n"/>
      <c r="H148" s="10" t="n"/>
      <c r="I148" s="10" t="n"/>
      <c r="J148" s="10" t="n"/>
    </row>
    <row r="149">
      <c r="D149" s="9" t="n"/>
      <c r="E149" s="10" t="n"/>
      <c r="F149" s="10" t="n"/>
      <c r="G149" s="10" t="n"/>
      <c r="H149" s="10" t="n"/>
      <c r="I149" s="10" t="n"/>
      <c r="J149" s="10" t="n"/>
    </row>
    <row r="150">
      <c r="D150" s="9" t="n"/>
      <c r="E150" s="10" t="n"/>
      <c r="F150" s="10" t="n"/>
      <c r="G150" s="10" t="n"/>
      <c r="H150" s="10" t="n"/>
      <c r="I150" s="10" t="n"/>
      <c r="J150" s="10" t="n"/>
    </row>
    <row r="151">
      <c r="D151" s="9" t="n"/>
      <c r="E151" s="10" t="n"/>
      <c r="F151" s="10" t="n"/>
      <c r="G151" s="10" t="n"/>
      <c r="H151" s="10" t="n"/>
      <c r="I151" s="10" t="n"/>
      <c r="J151" s="10" t="n"/>
    </row>
    <row r="152">
      <c r="D152" s="9" t="n"/>
      <c r="E152" s="10" t="n"/>
      <c r="F152" s="10" t="n"/>
      <c r="G152" s="10" t="n"/>
      <c r="H152" s="10" t="n"/>
      <c r="I152" s="10" t="n"/>
      <c r="J152" s="10" t="n"/>
    </row>
    <row r="153">
      <c r="D153" s="9" t="n"/>
      <c r="E153" s="10" t="n"/>
      <c r="F153" s="10" t="n"/>
      <c r="G153" s="10" t="n"/>
      <c r="H153" s="10" t="n"/>
      <c r="I153" s="10" t="n"/>
      <c r="J153" s="10" t="n"/>
    </row>
    <row r="154">
      <c r="D154" s="9" t="n"/>
      <c r="E154" s="10" t="n"/>
      <c r="F154" s="10" t="n"/>
      <c r="G154" s="10" t="n"/>
      <c r="H154" s="10" t="n"/>
      <c r="I154" s="10" t="n"/>
      <c r="J154" s="10" t="n"/>
    </row>
    <row r="155">
      <c r="D155" s="9" t="n"/>
      <c r="E155" s="10" t="n"/>
      <c r="F155" s="10" t="n"/>
      <c r="G155" s="10" t="n"/>
      <c r="H155" s="10" t="n"/>
      <c r="I155" s="10" t="n"/>
      <c r="J155" s="10" t="n"/>
    </row>
    <row r="156">
      <c r="D156" s="9" t="n"/>
      <c r="E156" s="10" t="n"/>
      <c r="F156" s="10" t="n"/>
      <c r="G156" s="10" t="n"/>
      <c r="H156" s="10" t="n"/>
      <c r="I156" s="10" t="n"/>
      <c r="J156" s="10" t="n"/>
    </row>
    <row r="157">
      <c r="D157" s="9" t="n"/>
      <c r="E157" s="10" t="n"/>
      <c r="F157" s="10" t="n"/>
      <c r="G157" s="10" t="n"/>
      <c r="H157" s="10" t="n"/>
      <c r="I157" s="10" t="n"/>
      <c r="J157" s="10" t="n"/>
    </row>
    <row r="158">
      <c r="D158" s="9" t="n"/>
      <c r="E158" s="10" t="n"/>
      <c r="F158" s="10" t="n"/>
      <c r="G158" s="10" t="n"/>
      <c r="H158" s="10" t="n"/>
      <c r="I158" s="10" t="n"/>
      <c r="J158" s="10" t="n"/>
    </row>
    <row r="159">
      <c r="D159" s="9" t="n"/>
      <c r="E159" s="10" t="n"/>
      <c r="F159" s="10" t="n"/>
      <c r="G159" s="10" t="n"/>
      <c r="H159" s="10" t="n"/>
      <c r="I159" s="10" t="n"/>
      <c r="J159" s="10" t="n"/>
    </row>
    <row r="160">
      <c r="D160" s="9" t="n"/>
      <c r="E160" s="10" t="n"/>
      <c r="F160" s="10" t="n"/>
      <c r="G160" s="10" t="n"/>
      <c r="H160" s="10" t="n"/>
      <c r="I160" s="10" t="n"/>
      <c r="J160" s="10" t="n"/>
    </row>
    <row r="161">
      <c r="D161" s="9" t="n"/>
      <c r="E161" s="10" t="n"/>
      <c r="F161" s="10" t="n"/>
      <c r="G161" s="10" t="n"/>
      <c r="H161" s="10" t="n"/>
      <c r="I161" s="10" t="n"/>
      <c r="J161" s="10" t="n"/>
    </row>
    <row r="162">
      <c r="D162" s="9" t="n"/>
      <c r="E162" s="10" t="n"/>
      <c r="F162" s="10" t="n"/>
      <c r="G162" s="10" t="n"/>
      <c r="H162" s="10" t="n"/>
      <c r="I162" s="10" t="n"/>
      <c r="J162" s="10" t="n"/>
    </row>
    <row r="163">
      <c r="D163" s="9" t="n"/>
      <c r="E163" s="10" t="n"/>
      <c r="F163" s="10" t="n"/>
      <c r="G163" s="10" t="n"/>
      <c r="H163" s="10" t="n"/>
      <c r="I163" s="10" t="n"/>
      <c r="J163" s="10" t="n"/>
    </row>
    <row r="164">
      <c r="D164" s="9" t="n"/>
      <c r="E164" s="10" t="n"/>
      <c r="F164" s="10" t="n"/>
      <c r="G164" s="10" t="n"/>
      <c r="H164" s="10" t="n"/>
      <c r="I164" s="10" t="n"/>
      <c r="J164" s="10" t="n"/>
    </row>
    <row r="165">
      <c r="D165" s="9" t="n"/>
      <c r="E165" s="10" t="n"/>
      <c r="F165" s="10" t="n"/>
      <c r="G165" s="10" t="n"/>
      <c r="H165" s="10" t="n"/>
      <c r="I165" s="10" t="n"/>
      <c r="J165" s="10" t="n"/>
    </row>
    <row r="166">
      <c r="D166" s="9" t="n"/>
      <c r="E166" s="10" t="n"/>
      <c r="F166" s="10" t="n"/>
      <c r="G166" s="10" t="n"/>
      <c r="H166" s="10" t="n"/>
      <c r="I166" s="10" t="n"/>
      <c r="J166" s="10" t="n"/>
    </row>
    <row r="167">
      <c r="D167" s="9" t="n"/>
      <c r="E167" s="10" t="n"/>
      <c r="F167" s="10" t="n"/>
      <c r="G167" s="10" t="n"/>
      <c r="H167" s="10" t="n"/>
      <c r="I167" s="10" t="n"/>
      <c r="J167" s="10" t="n"/>
    </row>
    <row r="168">
      <c r="D168" s="9" t="n"/>
      <c r="E168" s="10" t="n"/>
      <c r="F168" s="10" t="n"/>
      <c r="G168" s="10" t="n"/>
      <c r="H168" s="10" t="n"/>
      <c r="I168" s="10" t="n"/>
      <c r="J168" s="10" t="n"/>
    </row>
    <row r="169">
      <c r="D169" s="9" t="n"/>
      <c r="E169" s="10" t="n"/>
      <c r="F169" s="10" t="n"/>
      <c r="G169" s="10" t="n"/>
      <c r="H169" s="10" t="n"/>
      <c r="I169" s="10" t="n"/>
      <c r="J169" s="10" t="n"/>
    </row>
    <row r="170">
      <c r="D170" s="9" t="n"/>
      <c r="E170" s="10" t="n"/>
      <c r="F170" s="10" t="n"/>
      <c r="G170" s="10" t="n"/>
      <c r="H170" s="10" t="n"/>
      <c r="I170" s="10" t="n"/>
      <c r="J170" s="10" t="n"/>
    </row>
    <row r="171">
      <c r="D171" s="9" t="n"/>
      <c r="E171" s="10" t="n"/>
      <c r="F171" s="10" t="n"/>
      <c r="G171" s="10" t="n"/>
      <c r="H171" s="10" t="n"/>
      <c r="I171" s="10" t="n"/>
      <c r="J171" s="10" t="n"/>
    </row>
    <row r="172">
      <c r="D172" s="9" t="n"/>
      <c r="E172" s="10" t="n"/>
      <c r="F172" s="10" t="n"/>
      <c r="G172" s="10" t="n"/>
      <c r="H172" s="10" t="n"/>
      <c r="I172" s="10" t="n"/>
      <c r="J172" s="10" t="n"/>
    </row>
    <row r="173">
      <c r="D173" s="9" t="n"/>
      <c r="E173" s="10" t="n"/>
      <c r="F173" s="10" t="n"/>
      <c r="G173" s="10" t="n"/>
      <c r="H173" s="10" t="n"/>
      <c r="I173" s="10" t="n"/>
      <c r="J173" s="10" t="n"/>
    </row>
    <row r="174">
      <c r="D174" s="9" t="n"/>
      <c r="E174" s="10" t="n"/>
      <c r="F174" s="10" t="n"/>
      <c r="G174" s="10" t="n"/>
      <c r="H174" s="10" t="n"/>
      <c r="I174" s="10" t="n"/>
      <c r="J174" s="10" t="n"/>
    </row>
    <row r="175">
      <c r="D175" s="9" t="n"/>
      <c r="E175" s="10" t="n"/>
      <c r="F175" s="10" t="n"/>
      <c r="G175" s="10" t="n"/>
      <c r="H175" s="10" t="n"/>
      <c r="I175" s="10" t="n"/>
      <c r="J175" s="10" t="n"/>
    </row>
    <row r="176">
      <c r="D176" s="9" t="n"/>
      <c r="E176" s="10" t="n"/>
      <c r="F176" s="10" t="n"/>
      <c r="G176" s="10" t="n"/>
      <c r="H176" s="10" t="n"/>
      <c r="I176" s="10" t="n"/>
      <c r="J176" s="10" t="n"/>
    </row>
    <row r="177">
      <c r="D177" s="9" t="n"/>
      <c r="E177" s="10" t="n"/>
      <c r="F177" s="10" t="n"/>
      <c r="G177" s="10" t="n"/>
      <c r="H177" s="10" t="n"/>
      <c r="I177" s="10" t="n"/>
      <c r="J177" s="10" t="n"/>
    </row>
    <row r="178">
      <c r="D178" s="9" t="n"/>
      <c r="E178" s="10" t="n"/>
      <c r="F178" s="10" t="n"/>
      <c r="G178" s="10" t="n"/>
      <c r="H178" s="10" t="n"/>
      <c r="I178" s="10" t="n"/>
      <c r="J178" s="10" t="n"/>
    </row>
    <row r="179">
      <c r="D179" s="9" t="n"/>
      <c r="E179" s="10" t="n"/>
      <c r="F179" s="10" t="n"/>
      <c r="G179" s="10" t="n"/>
      <c r="H179" s="10" t="n"/>
      <c r="I179" s="10" t="n"/>
      <c r="J179" s="10" t="n"/>
    </row>
    <row r="180">
      <c r="D180" s="9" t="n"/>
      <c r="E180" s="10" t="n"/>
      <c r="F180" s="10" t="n"/>
      <c r="G180" s="10" t="n"/>
      <c r="H180" s="10" t="n"/>
      <c r="I180" s="10" t="n"/>
      <c r="J180" s="10" t="n"/>
    </row>
    <row r="181">
      <c r="D181" s="9" t="n"/>
      <c r="E181" s="10" t="n"/>
      <c r="F181" s="10" t="n"/>
      <c r="G181" s="10" t="n"/>
      <c r="H181" s="10" t="n"/>
      <c r="I181" s="10" t="n"/>
      <c r="J181" s="10" t="n"/>
    </row>
    <row r="182">
      <c r="D182" s="9" t="n"/>
      <c r="E182" s="10" t="n"/>
      <c r="F182" s="10" t="n"/>
      <c r="G182" s="10" t="n"/>
      <c r="H182" s="10" t="n"/>
      <c r="I182" s="10" t="n"/>
      <c r="J182" s="10" t="n"/>
    </row>
    <row r="183">
      <c r="D183" s="9" t="n"/>
      <c r="E183" s="10" t="n"/>
      <c r="F183" s="10" t="n"/>
      <c r="G183" s="10" t="n"/>
      <c r="H183" s="10" t="n"/>
      <c r="I183" s="10" t="n"/>
      <c r="J183" s="10" t="n"/>
    </row>
    <row r="184">
      <c r="D184" s="9" t="n"/>
      <c r="E184" s="10" t="n"/>
      <c r="F184" s="10" t="n"/>
      <c r="G184" s="10" t="n"/>
      <c r="H184" s="10" t="n"/>
      <c r="I184" s="10" t="n"/>
      <c r="J184" s="10" t="n"/>
    </row>
    <row r="185">
      <c r="D185" s="9" t="n"/>
      <c r="E185" s="10" t="n"/>
      <c r="F185" s="10" t="n"/>
      <c r="G185" s="10" t="n"/>
      <c r="H185" s="10" t="n"/>
      <c r="I185" s="10" t="n"/>
      <c r="J185" s="10" t="n"/>
    </row>
    <row r="186">
      <c r="D186" s="9" t="n"/>
      <c r="E186" s="10" t="n"/>
      <c r="F186" s="10" t="n"/>
      <c r="G186" s="10" t="n"/>
      <c r="H186" s="10" t="n"/>
      <c r="I186" s="10" t="n"/>
      <c r="J186" s="10" t="n"/>
    </row>
    <row r="187">
      <c r="D187" s="9" t="n"/>
      <c r="E187" s="10" t="n"/>
      <c r="F187" s="10" t="n"/>
      <c r="G187" s="10" t="n"/>
      <c r="H187" s="10" t="n"/>
      <c r="I187" s="10" t="n"/>
      <c r="J187" s="10" t="n"/>
    </row>
    <row r="188">
      <c r="D188" s="9" t="n"/>
      <c r="E188" s="10" t="n"/>
      <c r="F188" s="10" t="n"/>
      <c r="G188" s="10" t="n"/>
      <c r="H188" s="10" t="n"/>
      <c r="I188" s="10" t="n"/>
      <c r="J188" s="10" t="n"/>
    </row>
    <row r="189">
      <c r="D189" s="9" t="n"/>
      <c r="E189" s="10" t="n"/>
      <c r="F189" s="10" t="n"/>
      <c r="G189" s="10" t="n"/>
      <c r="H189" s="10" t="n"/>
      <c r="I189" s="10" t="n"/>
      <c r="J189" s="10" t="n"/>
    </row>
    <row r="190">
      <c r="D190" s="9" t="n"/>
      <c r="E190" s="10" t="n"/>
      <c r="F190" s="10" t="n"/>
      <c r="G190" s="10" t="n"/>
      <c r="H190" s="10" t="n"/>
      <c r="I190" s="10" t="n"/>
      <c r="J190" s="10" t="n"/>
    </row>
    <row r="191">
      <c r="D191" s="9" t="n"/>
      <c r="E191" s="10" t="n"/>
      <c r="F191" s="10" t="n"/>
      <c r="G191" s="10" t="n"/>
      <c r="H191" s="10" t="n"/>
      <c r="I191" s="10" t="n"/>
      <c r="J191" s="10" t="n"/>
    </row>
    <row r="192">
      <c r="D192" s="9" t="n"/>
      <c r="E192" s="10" t="n"/>
      <c r="F192" s="10" t="n"/>
      <c r="G192" s="10" t="n"/>
      <c r="H192" s="10" t="n"/>
      <c r="I192" s="10" t="n"/>
      <c r="J192" s="10" t="n"/>
    </row>
    <row r="193">
      <c r="D193" s="9" t="n"/>
      <c r="E193" s="10" t="n"/>
      <c r="F193" s="10" t="n"/>
      <c r="G193" s="10" t="n"/>
      <c r="H193" s="10" t="n"/>
      <c r="I193" s="10" t="n"/>
      <c r="J193" s="10" t="n"/>
    </row>
    <row r="194">
      <c r="D194" s="9" t="n"/>
      <c r="E194" s="10" t="n"/>
      <c r="F194" s="10" t="n"/>
      <c r="G194" s="10" t="n"/>
      <c r="H194" s="10" t="n"/>
      <c r="I194" s="10" t="n"/>
      <c r="J194" s="10" t="n"/>
    </row>
    <row r="195">
      <c r="D195" s="9" t="n"/>
      <c r="E195" s="10" t="n"/>
      <c r="F195" s="10" t="n"/>
      <c r="G195" s="10" t="n"/>
      <c r="H195" s="10" t="n"/>
      <c r="I195" s="10" t="n"/>
      <c r="J195" s="10" t="n"/>
    </row>
    <row r="196">
      <c r="D196" s="9" t="n"/>
      <c r="E196" s="10" t="n"/>
      <c r="F196" s="10" t="n"/>
      <c r="G196" s="10" t="n"/>
      <c r="H196" s="10" t="n"/>
      <c r="I196" s="10" t="n"/>
      <c r="J196" s="10" t="n"/>
    </row>
    <row r="197">
      <c r="D197" s="9" t="n"/>
      <c r="E197" s="10" t="n"/>
      <c r="F197" s="10" t="n"/>
      <c r="G197" s="10" t="n"/>
      <c r="H197" s="10" t="n"/>
      <c r="I197" s="10" t="n"/>
      <c r="J197" s="10" t="n"/>
    </row>
    <row r="198">
      <c r="D198" s="9" t="n"/>
      <c r="E198" s="10" t="n"/>
      <c r="F198" s="10" t="n"/>
      <c r="G198" s="10" t="n"/>
      <c r="H198" s="10" t="n"/>
      <c r="I198" s="10" t="n"/>
      <c r="J198" s="10" t="n"/>
    </row>
    <row r="199">
      <c r="D199" s="9" t="n"/>
      <c r="E199" s="10" t="n"/>
      <c r="F199" s="10" t="n"/>
      <c r="G199" s="10" t="n"/>
      <c r="H199" s="10" t="n"/>
      <c r="I199" s="10" t="n"/>
      <c r="J199" s="10" t="n"/>
    </row>
    <row r="200">
      <c r="D200" s="9" t="n"/>
      <c r="E200" s="10" t="n"/>
      <c r="F200" s="10" t="n"/>
      <c r="G200" s="10" t="n"/>
      <c r="H200" s="10" t="n"/>
      <c r="I200" s="10" t="n"/>
      <c r="J200" s="10" t="n"/>
    </row>
    <row r="201">
      <c r="D201" s="9" t="n"/>
      <c r="E201" s="10" t="n"/>
      <c r="F201" s="10" t="n"/>
      <c r="G201" s="10" t="n"/>
      <c r="H201" s="10" t="n"/>
      <c r="I201" s="10" t="n"/>
      <c r="J201" s="10" t="n"/>
    </row>
    <row r="202">
      <c r="D202" s="9" t="n"/>
      <c r="E202" s="10" t="n"/>
      <c r="F202" s="10" t="n"/>
      <c r="G202" s="10" t="n"/>
      <c r="H202" s="10" t="n"/>
      <c r="I202" s="10" t="n"/>
      <c r="J202" s="10" t="n"/>
    </row>
    <row r="203">
      <c r="D203" s="9" t="n"/>
      <c r="E203" s="10" t="n"/>
      <c r="F203" s="10" t="n"/>
      <c r="G203" s="10" t="n"/>
      <c r="H203" s="10" t="n"/>
      <c r="I203" s="10" t="n"/>
      <c r="J203" s="10" t="n"/>
    </row>
    <row r="204">
      <c r="D204" s="9" t="n"/>
      <c r="E204" s="10" t="n"/>
      <c r="F204" s="10" t="n"/>
      <c r="G204" s="10" t="n"/>
      <c r="H204" s="10" t="n"/>
      <c r="I204" s="10" t="n"/>
      <c r="J204" s="10" t="n"/>
    </row>
    <row r="205">
      <c r="D205" s="9" t="n"/>
      <c r="E205" s="10" t="n"/>
      <c r="F205" s="10" t="n"/>
      <c r="G205" s="10" t="n"/>
      <c r="H205" s="10" t="n"/>
      <c r="I205" s="10" t="n"/>
      <c r="J205" s="10" t="n"/>
    </row>
    <row r="206">
      <c r="D206" s="9" t="n"/>
      <c r="E206" s="10" t="n"/>
      <c r="F206" s="10" t="n"/>
      <c r="G206" s="10" t="n"/>
      <c r="H206" s="10" t="n"/>
      <c r="I206" s="10" t="n"/>
      <c r="J206" s="10" t="n"/>
    </row>
    <row r="207">
      <c r="D207" s="9" t="n"/>
      <c r="E207" s="10" t="n"/>
      <c r="F207" s="10" t="n"/>
      <c r="G207" s="10" t="n"/>
      <c r="H207" s="10" t="n"/>
      <c r="I207" s="10" t="n"/>
      <c r="J207" s="10" t="n"/>
    </row>
    <row r="208">
      <c r="D208" s="9" t="n"/>
      <c r="E208" s="10" t="n"/>
      <c r="F208" s="10" t="n"/>
      <c r="G208" s="10" t="n"/>
      <c r="H208" s="10" t="n"/>
      <c r="I208" s="10" t="n"/>
      <c r="J208" s="10" t="n"/>
    </row>
    <row r="209">
      <c r="D209" s="9" t="n"/>
      <c r="E209" s="10" t="n"/>
      <c r="F209" s="10" t="n"/>
      <c r="G209" s="10" t="n"/>
      <c r="H209" s="10" t="n"/>
      <c r="I209" s="10" t="n"/>
      <c r="J209" s="10" t="n"/>
    </row>
    <row r="210">
      <c r="D210" s="9" t="n"/>
      <c r="E210" s="10" t="n"/>
      <c r="F210" s="10" t="n"/>
      <c r="G210" s="10" t="n"/>
      <c r="H210" s="10" t="n"/>
      <c r="I210" s="10" t="n"/>
      <c r="J210" s="10" t="n"/>
    </row>
    <row r="211">
      <c r="D211" s="9" t="n"/>
      <c r="E211" s="10" t="n"/>
      <c r="F211" s="10" t="n"/>
      <c r="G211" s="10" t="n"/>
      <c r="H211" s="10" t="n"/>
      <c r="I211" s="10" t="n"/>
      <c r="J211" s="10" t="n"/>
    </row>
    <row r="212">
      <c r="D212" s="9" t="n"/>
      <c r="E212" s="10" t="n"/>
      <c r="F212" s="10" t="n"/>
      <c r="G212" s="10" t="n"/>
      <c r="H212" s="10" t="n"/>
      <c r="I212" s="10" t="n"/>
      <c r="J212" s="10" t="n"/>
    </row>
    <row r="213">
      <c r="D213" s="9" t="n"/>
      <c r="E213" s="10" t="n"/>
      <c r="F213" s="10" t="n"/>
      <c r="G213" s="10" t="n"/>
      <c r="H213" s="10" t="n"/>
      <c r="I213" s="10" t="n"/>
      <c r="J213" s="10" t="n"/>
    </row>
    <row r="214">
      <c r="D214" s="9" t="n"/>
      <c r="E214" s="10" t="n"/>
      <c r="F214" s="10" t="n"/>
      <c r="G214" s="10" t="n"/>
      <c r="H214" s="10" t="n"/>
      <c r="I214" s="10" t="n"/>
      <c r="J214" s="10" t="n"/>
    </row>
    <row r="215">
      <c r="D215" s="9" t="n"/>
      <c r="E215" s="10" t="n"/>
      <c r="F215" s="10" t="n"/>
      <c r="G215" s="10" t="n"/>
      <c r="H215" s="10" t="n"/>
      <c r="I215" s="10" t="n"/>
      <c r="J215" s="10" t="n"/>
    </row>
    <row r="216">
      <c r="D216" s="9" t="n"/>
      <c r="E216" s="10" t="n"/>
      <c r="F216" s="10" t="n"/>
      <c r="G216" s="10" t="n"/>
      <c r="H216" s="10" t="n"/>
      <c r="I216" s="10" t="n"/>
      <c r="J216" s="10" t="n"/>
    </row>
    <row r="217">
      <c r="D217" s="9" t="n"/>
      <c r="E217" s="10" t="n"/>
      <c r="F217" s="10" t="n"/>
      <c r="G217" s="10" t="n"/>
      <c r="H217" s="10" t="n"/>
      <c r="I217" s="10" t="n"/>
      <c r="J217" s="10" t="n"/>
    </row>
    <row r="218">
      <c r="D218" s="9" t="n"/>
      <c r="E218" s="10" t="n"/>
      <c r="F218" s="10" t="n"/>
      <c r="G218" s="10" t="n"/>
      <c r="H218" s="10" t="n"/>
      <c r="I218" s="10" t="n"/>
      <c r="J218" s="10" t="n"/>
    </row>
    <row r="219">
      <c r="D219" s="9" t="n"/>
      <c r="E219" s="10" t="n"/>
      <c r="F219" s="10" t="n"/>
      <c r="G219" s="10" t="n"/>
      <c r="H219" s="10" t="n"/>
      <c r="I219" s="10" t="n"/>
      <c r="J219" s="10" t="n"/>
    </row>
    <row r="220">
      <c r="D220" s="9" t="n"/>
      <c r="E220" s="10" t="n"/>
      <c r="F220" s="10" t="n"/>
      <c r="G220" s="10" t="n"/>
      <c r="H220" s="10" t="n"/>
      <c r="I220" s="10" t="n"/>
      <c r="J220" s="10" t="n"/>
    </row>
    <row r="221">
      <c r="D221" s="9" t="n"/>
      <c r="E221" s="10" t="n"/>
      <c r="F221" s="10" t="n"/>
      <c r="G221" s="10" t="n"/>
      <c r="H221" s="10" t="n"/>
      <c r="I221" s="10" t="n"/>
      <c r="J221" s="10" t="n"/>
    </row>
    <row r="222">
      <c r="D222" s="9" t="n"/>
      <c r="E222" s="10" t="n"/>
      <c r="F222" s="10" t="n"/>
      <c r="G222" s="10" t="n"/>
      <c r="H222" s="10" t="n"/>
      <c r="I222" s="10" t="n"/>
      <c r="J222" s="10" t="n"/>
    </row>
    <row r="223">
      <c r="D223" s="9" t="n"/>
      <c r="E223" s="10" t="n"/>
      <c r="F223" s="10" t="n"/>
      <c r="G223" s="10" t="n"/>
      <c r="H223" s="10" t="n"/>
      <c r="I223" s="10" t="n"/>
      <c r="J223" s="10" t="n"/>
    </row>
    <row r="224">
      <c r="D224" s="9" t="n"/>
      <c r="E224" s="10" t="n"/>
      <c r="F224" s="10" t="n"/>
      <c r="G224" s="10" t="n"/>
      <c r="H224" s="10" t="n"/>
      <c r="I224" s="10" t="n"/>
      <c r="J224" s="10" t="n"/>
    </row>
    <row r="225">
      <c r="D225" s="9" t="n"/>
      <c r="E225" s="10" t="n"/>
      <c r="F225" s="10" t="n"/>
      <c r="G225" s="10" t="n"/>
      <c r="H225" s="10" t="n"/>
      <c r="I225" s="10" t="n"/>
      <c r="J225" s="10" t="n"/>
    </row>
    <row r="226">
      <c r="D226" s="9" t="n"/>
      <c r="E226" s="10" t="n"/>
      <c r="F226" s="10" t="n"/>
      <c r="G226" s="10" t="n"/>
      <c r="H226" s="10" t="n"/>
      <c r="I226" s="10" t="n"/>
      <c r="J226" s="10" t="n"/>
    </row>
    <row r="227">
      <c r="D227" s="9" t="n"/>
      <c r="E227" s="10" t="n"/>
      <c r="F227" s="10" t="n"/>
      <c r="G227" s="10" t="n"/>
      <c r="H227" s="10" t="n"/>
      <c r="I227" s="10" t="n"/>
      <c r="J227" s="10" t="n"/>
    </row>
    <row r="228">
      <c r="D228" s="9" t="n"/>
      <c r="E228" s="10" t="n"/>
      <c r="F228" s="10" t="n"/>
      <c r="G228" s="10" t="n"/>
      <c r="H228" s="10" t="n"/>
      <c r="I228" s="10" t="n"/>
      <c r="J228" s="10" t="n"/>
    </row>
    <row r="229">
      <c r="D229" s="9" t="n"/>
      <c r="E229" s="10" t="n"/>
      <c r="F229" s="10" t="n"/>
      <c r="G229" s="10" t="n"/>
      <c r="H229" s="10" t="n"/>
      <c r="I229" s="10" t="n"/>
      <c r="J229" s="10" t="n"/>
    </row>
    <row r="230">
      <c r="D230" s="9" t="n"/>
      <c r="E230" s="10" t="n"/>
      <c r="F230" s="10" t="n"/>
      <c r="G230" s="10" t="n"/>
      <c r="H230" s="10" t="n"/>
      <c r="I230" s="10" t="n"/>
      <c r="J230" s="10" t="n"/>
    </row>
    <row r="231">
      <c r="D231" s="9" t="n"/>
      <c r="E231" s="10" t="n"/>
      <c r="F231" s="10" t="n"/>
      <c r="G231" s="10" t="n"/>
      <c r="H231" s="10" t="n"/>
      <c r="I231" s="10" t="n"/>
      <c r="J231" s="10" t="n"/>
    </row>
    <row r="232">
      <c r="D232" s="9" t="n"/>
      <c r="E232" s="10" t="n"/>
      <c r="F232" s="10" t="n"/>
      <c r="G232" s="10" t="n"/>
      <c r="H232" s="10" t="n"/>
      <c r="I232" s="10" t="n"/>
      <c r="J232" s="10" t="n"/>
    </row>
    <row r="233">
      <c r="D233" s="9" t="n"/>
      <c r="E233" s="10" t="n"/>
      <c r="F233" s="10" t="n"/>
      <c r="G233" s="10" t="n"/>
      <c r="H233" s="10" t="n"/>
      <c r="I233" s="10" t="n"/>
      <c r="J233" s="10" t="n"/>
    </row>
    <row r="234">
      <c r="D234" s="9" t="n"/>
      <c r="E234" s="10" t="n"/>
      <c r="F234" s="10" t="n"/>
      <c r="G234" s="10" t="n"/>
      <c r="H234" s="10" t="n"/>
      <c r="I234" s="10" t="n"/>
      <c r="J234" s="10" t="n"/>
    </row>
    <row r="235">
      <c r="D235" s="9" t="n"/>
      <c r="E235" s="10" t="n"/>
      <c r="F235" s="10" t="n"/>
      <c r="G235" s="10" t="n"/>
      <c r="H235" s="10" t="n"/>
      <c r="I235" s="10" t="n"/>
      <c r="J235" s="10" t="n"/>
    </row>
    <row r="236">
      <c r="D236" s="9" t="n"/>
      <c r="E236" s="10" t="n"/>
      <c r="F236" s="10" t="n"/>
      <c r="G236" s="10" t="n"/>
      <c r="H236" s="10" t="n"/>
      <c r="I236" s="10" t="n"/>
      <c r="J236" s="10" t="n"/>
    </row>
    <row r="237">
      <c r="D237" s="9" t="n"/>
      <c r="E237" s="10" t="n"/>
      <c r="F237" s="10" t="n"/>
      <c r="G237" s="10" t="n"/>
      <c r="H237" s="10" t="n"/>
      <c r="I237" s="10" t="n"/>
      <c r="J237" s="10" t="n"/>
    </row>
    <row r="238">
      <c r="D238" s="9" t="n"/>
      <c r="E238" s="10" t="n"/>
      <c r="F238" s="10" t="n"/>
      <c r="G238" s="10" t="n"/>
      <c r="H238" s="10" t="n"/>
      <c r="I238" s="10" t="n"/>
      <c r="J238" s="10" t="n"/>
    </row>
    <row r="239">
      <c r="D239" s="9" t="n"/>
      <c r="E239" s="10" t="n"/>
      <c r="F239" s="10" t="n"/>
      <c r="G239" s="10" t="n"/>
      <c r="H239" s="10" t="n"/>
      <c r="I239" s="10" t="n"/>
      <c r="J239" s="10" t="n"/>
    </row>
    <row r="240">
      <c r="D240" s="9" t="n"/>
      <c r="E240" s="10" t="n"/>
      <c r="F240" s="10" t="n"/>
      <c r="G240" s="10" t="n"/>
      <c r="H240" s="10" t="n"/>
      <c r="I240" s="10" t="n"/>
      <c r="J240" s="10" t="n"/>
    </row>
    <row r="241">
      <c r="D241" s="9" t="n"/>
      <c r="E241" s="10" t="n"/>
      <c r="F241" s="10" t="n"/>
      <c r="G241" s="10" t="n"/>
      <c r="H241" s="10" t="n"/>
      <c r="I241" s="10" t="n"/>
      <c r="J241" s="10" t="n"/>
    </row>
    <row r="242">
      <c r="D242" s="9" t="n"/>
      <c r="E242" s="10" t="n"/>
      <c r="F242" s="10" t="n"/>
      <c r="G242" s="10" t="n"/>
      <c r="H242" s="10" t="n"/>
      <c r="I242" s="10" t="n"/>
      <c r="J242" s="10" t="n"/>
    </row>
    <row r="243">
      <c r="D243" s="9" t="n"/>
      <c r="E243" s="10" t="n"/>
      <c r="F243" s="10" t="n"/>
      <c r="G243" s="10" t="n"/>
      <c r="H243" s="10" t="n"/>
      <c r="I243" s="10" t="n"/>
      <c r="J243" s="10" t="n"/>
    </row>
    <row r="244">
      <c r="D244" s="9" t="n"/>
      <c r="E244" s="10" t="n"/>
      <c r="F244" s="10" t="n"/>
      <c r="G244" s="10" t="n"/>
      <c r="H244" s="10" t="n"/>
      <c r="I244" s="10" t="n"/>
      <c r="J244" s="10" t="n"/>
    </row>
    <row r="245">
      <c r="D245" s="9" t="n"/>
      <c r="E245" s="10" t="n"/>
      <c r="F245" s="10" t="n"/>
      <c r="G245" s="10" t="n"/>
      <c r="H245" s="10" t="n"/>
      <c r="I245" s="10" t="n"/>
      <c r="J245" s="10" t="n"/>
    </row>
    <row r="246">
      <c r="D246" s="9" t="n"/>
      <c r="E246" s="10" t="n"/>
      <c r="F246" s="10" t="n"/>
      <c r="G246" s="10" t="n"/>
      <c r="H246" s="10" t="n"/>
      <c r="I246" s="10" t="n"/>
      <c r="J246" s="10" t="n"/>
    </row>
    <row r="247">
      <c r="D247" s="9" t="n"/>
      <c r="E247" s="10" t="n"/>
      <c r="F247" s="10" t="n"/>
      <c r="G247" s="10" t="n"/>
      <c r="H247" s="10" t="n"/>
      <c r="I247" s="10" t="n"/>
      <c r="J247" s="10" t="n"/>
    </row>
    <row r="248">
      <c r="D248" s="9" t="n"/>
      <c r="E248" s="10" t="n"/>
      <c r="F248" s="10" t="n"/>
      <c r="G248" s="10" t="n"/>
      <c r="H248" s="10" t="n"/>
      <c r="I248" s="10" t="n"/>
      <c r="J248" s="10" t="n"/>
    </row>
    <row r="249">
      <c r="D249" s="9" t="n"/>
      <c r="E249" s="10" t="n"/>
      <c r="F249" s="10" t="n"/>
      <c r="G249" s="10" t="n"/>
      <c r="H249" s="10" t="n"/>
      <c r="I249" s="10" t="n"/>
      <c r="J249" s="10" t="n"/>
    </row>
    <row r="250">
      <c r="D250" s="9" t="n"/>
      <c r="E250" s="10" t="n"/>
      <c r="F250" s="10" t="n"/>
      <c r="G250" s="10" t="n"/>
      <c r="H250" s="10" t="n"/>
      <c r="I250" s="10" t="n"/>
      <c r="J250" s="10" t="n"/>
    </row>
    <row r="251">
      <c r="D251" s="9" t="n"/>
      <c r="E251" s="10" t="n"/>
      <c r="F251" s="10" t="n"/>
      <c r="G251" s="10" t="n"/>
      <c r="H251" s="10" t="n"/>
      <c r="I251" s="10" t="n"/>
      <c r="J251" s="10" t="n"/>
    </row>
    <row r="252">
      <c r="D252" s="9" t="n"/>
      <c r="E252" s="10" t="n"/>
      <c r="F252" s="10" t="n"/>
      <c r="G252" s="10" t="n"/>
      <c r="H252" s="10" t="n"/>
      <c r="I252" s="10" t="n"/>
      <c r="J252" s="10" t="n"/>
    </row>
    <row r="253">
      <c r="D253" s="9" t="n"/>
      <c r="E253" s="10" t="n"/>
      <c r="F253" s="10" t="n"/>
      <c r="G253" s="10" t="n"/>
      <c r="H253" s="10" t="n"/>
      <c r="I253" s="10" t="n"/>
      <c r="J253" s="10" t="n"/>
    </row>
    <row r="254">
      <c r="D254" s="9" t="n"/>
      <c r="E254" s="10" t="n"/>
      <c r="F254" s="10" t="n"/>
      <c r="G254" s="10" t="n"/>
      <c r="H254" s="10" t="n"/>
      <c r="I254" s="10" t="n"/>
      <c r="J254" s="10" t="n"/>
    </row>
    <row r="255">
      <c r="D255" s="9" t="n"/>
      <c r="E255" s="10" t="n"/>
      <c r="F255" s="10" t="n"/>
      <c r="G255" s="10" t="n"/>
      <c r="H255" s="10" t="n"/>
      <c r="I255" s="10" t="n"/>
      <c r="J255" s="10" t="n"/>
    </row>
    <row r="256">
      <c r="D256" s="9" t="n"/>
      <c r="E256" s="10" t="n"/>
      <c r="F256" s="10" t="n"/>
      <c r="G256" s="10" t="n"/>
      <c r="H256" s="10" t="n"/>
      <c r="I256" s="10" t="n"/>
      <c r="J256" s="10" t="n"/>
    </row>
    <row r="257">
      <c r="D257" s="9" t="n"/>
      <c r="E257" s="10" t="n"/>
      <c r="F257" s="10" t="n"/>
      <c r="G257" s="10" t="n"/>
      <c r="H257" s="10" t="n"/>
      <c r="I257" s="10" t="n"/>
      <c r="J257" s="10" t="n"/>
    </row>
    <row r="258">
      <c r="D258" s="9" t="n"/>
      <c r="E258" s="10" t="n"/>
      <c r="F258" s="10" t="n"/>
      <c r="G258" s="10" t="n"/>
      <c r="H258" s="10" t="n"/>
      <c r="I258" s="10" t="n"/>
      <c r="J258" s="10" t="n"/>
    </row>
    <row r="259">
      <c r="D259" s="9" t="n"/>
      <c r="E259" s="10" t="n"/>
      <c r="F259" s="10" t="n"/>
      <c r="G259" s="10" t="n"/>
      <c r="H259" s="10" t="n"/>
      <c r="I259" s="10" t="n"/>
      <c r="J259" s="10" t="n"/>
    </row>
    <row r="260">
      <c r="D260" s="9" t="n"/>
      <c r="E260" s="10" t="n"/>
      <c r="F260" s="10" t="n"/>
      <c r="G260" s="10" t="n"/>
      <c r="H260" s="10" t="n"/>
      <c r="I260" s="10" t="n"/>
      <c r="J260" s="10" t="n"/>
    </row>
    <row r="261">
      <c r="D261" s="9" t="n"/>
      <c r="E261" s="10" t="n"/>
      <c r="F261" s="10" t="n"/>
      <c r="G261" s="10" t="n"/>
      <c r="H261" s="10" t="n"/>
      <c r="I261" s="10" t="n"/>
      <c r="J261" s="10" t="n"/>
    </row>
    <row r="262">
      <c r="D262" s="9" t="n"/>
      <c r="E262" s="10" t="n"/>
      <c r="F262" s="10" t="n"/>
      <c r="G262" s="10" t="n"/>
      <c r="H262" s="10" t="n"/>
      <c r="I262" s="10" t="n"/>
      <c r="J262" s="10" t="n"/>
    </row>
    <row r="263">
      <c r="D263" s="9" t="n"/>
      <c r="E263" s="10" t="n"/>
      <c r="F263" s="10" t="n"/>
      <c r="G263" s="10" t="n"/>
      <c r="H263" s="10" t="n"/>
      <c r="I263" s="10" t="n"/>
      <c r="J263" s="10" t="n"/>
    </row>
    <row r="264">
      <c r="D264" s="9" t="n"/>
      <c r="E264" s="10" t="n"/>
      <c r="F264" s="10" t="n"/>
      <c r="G264" s="10" t="n"/>
      <c r="H264" s="10" t="n"/>
      <c r="I264" s="10" t="n"/>
      <c r="J264" s="10" t="n"/>
    </row>
    <row r="265">
      <c r="D265" s="9" t="n"/>
      <c r="E265" s="10" t="n"/>
      <c r="F265" s="10" t="n"/>
      <c r="G265" s="10" t="n"/>
      <c r="H265" s="10" t="n"/>
      <c r="I265" s="10" t="n"/>
      <c r="J265" s="10" t="n"/>
    </row>
    <row r="266">
      <c r="D266" s="9" t="n"/>
      <c r="E266" s="10" t="n"/>
      <c r="F266" s="10" t="n"/>
      <c r="G266" s="10" t="n"/>
      <c r="H266" s="10" t="n"/>
      <c r="I266" s="10" t="n"/>
      <c r="J266" s="10" t="n"/>
    </row>
    <row r="267">
      <c r="D267" s="9" t="n"/>
      <c r="E267" s="10" t="n"/>
      <c r="F267" s="10" t="n"/>
      <c r="G267" s="10" t="n"/>
      <c r="H267" s="10" t="n"/>
      <c r="I267" s="10" t="n"/>
      <c r="J267" s="10" t="n"/>
    </row>
    <row r="268">
      <c r="D268" s="9" t="n"/>
      <c r="E268" s="10" t="n"/>
      <c r="F268" s="10" t="n"/>
      <c r="G268" s="10" t="n"/>
      <c r="H268" s="10" t="n"/>
      <c r="I268" s="10" t="n"/>
      <c r="J268" s="10" t="n"/>
    </row>
    <row r="269">
      <c r="D269" s="9" t="n"/>
      <c r="E269" s="10" t="n"/>
      <c r="F269" s="10" t="n"/>
      <c r="G269" s="10" t="n"/>
      <c r="H269" s="10" t="n"/>
      <c r="I269" s="10" t="n"/>
      <c r="J269" s="10" t="n"/>
    </row>
    <row r="270">
      <c r="D270" s="9" t="n"/>
      <c r="E270" s="10" t="n"/>
      <c r="F270" s="10" t="n"/>
      <c r="G270" s="10" t="n"/>
      <c r="H270" s="10" t="n"/>
      <c r="I270" s="10" t="n"/>
      <c r="J270" s="10" t="n"/>
    </row>
    <row r="271">
      <c r="D271" s="9" t="n"/>
      <c r="E271" s="10" t="n"/>
      <c r="F271" s="10" t="n"/>
      <c r="G271" s="10" t="n"/>
      <c r="H271" s="10" t="n"/>
      <c r="I271" s="10" t="n"/>
      <c r="J271" s="10" t="n"/>
    </row>
    <row r="272">
      <c r="D272" s="9" t="n"/>
      <c r="E272" s="10" t="n"/>
      <c r="F272" s="10" t="n"/>
      <c r="G272" s="10" t="n"/>
      <c r="H272" s="10" t="n"/>
      <c r="I272" s="10" t="n"/>
      <c r="J272" s="10" t="n"/>
    </row>
    <row r="273">
      <c r="D273" s="9" t="n"/>
      <c r="E273" s="10" t="n"/>
      <c r="F273" s="10" t="n"/>
      <c r="G273" s="10" t="n"/>
      <c r="H273" s="10" t="n"/>
      <c r="I273" s="10" t="n"/>
      <c r="J273" s="10" t="n"/>
    </row>
    <row r="274">
      <c r="D274" s="9" t="n"/>
      <c r="E274" s="10" t="n"/>
      <c r="F274" s="10" t="n"/>
      <c r="G274" s="10" t="n"/>
      <c r="H274" s="10" t="n"/>
      <c r="I274" s="10" t="n"/>
      <c r="J274" s="10" t="n"/>
    </row>
    <row r="275">
      <c r="D275" s="9" t="n"/>
      <c r="E275" s="10" t="n"/>
      <c r="F275" s="10" t="n"/>
      <c r="G275" s="10" t="n"/>
      <c r="H275" s="10" t="n"/>
      <c r="I275" s="10" t="n"/>
      <c r="J275" s="10" t="n"/>
    </row>
    <row r="276">
      <c r="D276" s="9" t="n"/>
      <c r="E276" s="10" t="n"/>
      <c r="F276" s="10" t="n"/>
      <c r="G276" s="10" t="n"/>
      <c r="H276" s="10" t="n"/>
      <c r="I276" s="10" t="n"/>
      <c r="J276" s="10" t="n"/>
    </row>
    <row r="277">
      <c r="D277" s="9" t="n"/>
      <c r="E277" s="10" t="n"/>
      <c r="F277" s="10" t="n"/>
      <c r="G277" s="10" t="n"/>
      <c r="H277" s="10" t="n"/>
      <c r="I277" s="10" t="n"/>
      <c r="J277" s="10" t="n"/>
    </row>
    <row r="278">
      <c r="D278" s="9" t="n"/>
      <c r="E278" s="10" t="n"/>
      <c r="F278" s="10" t="n"/>
      <c r="G278" s="10" t="n"/>
      <c r="H278" s="10" t="n"/>
      <c r="I278" s="10" t="n"/>
      <c r="J278" s="10" t="n"/>
    </row>
    <row r="279">
      <c r="D279" s="9" t="n"/>
      <c r="E279" s="10" t="n"/>
      <c r="F279" s="10" t="n"/>
      <c r="G279" s="10" t="n"/>
      <c r="H279" s="10" t="n"/>
      <c r="I279" s="10" t="n"/>
      <c r="J279" s="10" t="n"/>
    </row>
    <row r="280">
      <c r="D280" s="9" t="n"/>
      <c r="E280" s="10" t="n"/>
      <c r="F280" s="10" t="n"/>
      <c r="G280" s="10" t="n"/>
      <c r="H280" s="10" t="n"/>
      <c r="I280" s="10" t="n"/>
      <c r="J280" s="10" t="n"/>
    </row>
    <row r="281">
      <c r="D281" s="9" t="n"/>
      <c r="E281" s="10" t="n"/>
      <c r="F281" s="10" t="n"/>
      <c r="G281" s="10" t="n"/>
      <c r="H281" s="10" t="n"/>
      <c r="I281" s="10" t="n"/>
      <c r="J281" s="10" t="n"/>
    </row>
    <row r="282">
      <c r="D282" s="9" t="n"/>
      <c r="E282" s="10" t="n"/>
      <c r="F282" s="10" t="n"/>
      <c r="G282" s="10" t="n"/>
      <c r="H282" s="10" t="n"/>
      <c r="I282" s="10" t="n"/>
      <c r="J282" s="10" t="n"/>
    </row>
    <row r="283">
      <c r="D283" s="9" t="n"/>
      <c r="E283" s="10" t="n"/>
      <c r="F283" s="10" t="n"/>
      <c r="G283" s="10" t="n"/>
      <c r="H283" s="10" t="n"/>
      <c r="I283" s="10" t="n"/>
      <c r="J283" s="10" t="n"/>
    </row>
    <row r="284">
      <c r="D284" s="9" t="n"/>
      <c r="E284" s="10" t="n"/>
      <c r="F284" s="10" t="n"/>
      <c r="G284" s="10" t="n"/>
      <c r="H284" s="10" t="n"/>
      <c r="I284" s="10" t="n"/>
      <c r="J284" s="10" t="n"/>
    </row>
    <row r="285">
      <c r="D285" s="9" t="n"/>
      <c r="E285" s="10" t="n"/>
      <c r="F285" s="10" t="n"/>
      <c r="G285" s="10" t="n"/>
      <c r="H285" s="10" t="n"/>
      <c r="I285" s="10" t="n"/>
      <c r="J285" s="10" t="n"/>
    </row>
    <row r="286">
      <c r="D286" s="9" t="n"/>
      <c r="E286" s="10" t="n"/>
      <c r="F286" s="10" t="n"/>
      <c r="G286" s="10" t="n"/>
      <c r="H286" s="10" t="n"/>
      <c r="I286" s="10" t="n"/>
      <c r="J286" s="10" t="n"/>
    </row>
    <row r="287">
      <c r="D287" s="9" t="n"/>
      <c r="E287" s="10" t="n"/>
      <c r="F287" s="10" t="n"/>
      <c r="G287" s="10" t="n"/>
      <c r="H287" s="10" t="n"/>
      <c r="I287" s="10" t="n"/>
      <c r="J287" s="10" t="n"/>
    </row>
    <row r="288">
      <c r="D288" s="9" t="n"/>
      <c r="E288" s="10" t="n"/>
      <c r="F288" s="10" t="n"/>
      <c r="G288" s="10" t="n"/>
      <c r="H288" s="10" t="n"/>
      <c r="I288" s="10" t="n"/>
      <c r="J288" s="10" t="n"/>
    </row>
    <row r="289">
      <c r="D289" s="9" t="n"/>
      <c r="E289" s="10" t="n"/>
      <c r="F289" s="10" t="n"/>
      <c r="G289" s="10" t="n"/>
      <c r="H289" s="10" t="n"/>
      <c r="I289" s="10" t="n"/>
      <c r="J289" s="10" t="n"/>
    </row>
    <row r="290">
      <c r="D290" s="9" t="n"/>
      <c r="E290" s="10" t="n"/>
      <c r="F290" s="10" t="n"/>
      <c r="G290" s="10" t="n"/>
      <c r="H290" s="10" t="n"/>
      <c r="I290" s="10" t="n"/>
      <c r="J290" s="10" t="n"/>
    </row>
    <row r="291">
      <c r="D291" s="9" t="n"/>
      <c r="E291" s="10" t="n"/>
      <c r="F291" s="10" t="n"/>
      <c r="G291" s="10" t="n"/>
      <c r="H291" s="10" t="n"/>
      <c r="I291" s="10" t="n"/>
      <c r="J291" s="10" t="n"/>
    </row>
    <row r="292">
      <c r="D292" s="9" t="n"/>
      <c r="E292" s="10" t="n"/>
      <c r="F292" s="10" t="n"/>
      <c r="G292" s="10" t="n"/>
      <c r="H292" s="10" t="n"/>
      <c r="I292" s="10" t="n"/>
      <c r="J292" s="10" t="n"/>
    </row>
    <row r="293">
      <c r="D293" s="9" t="n"/>
      <c r="E293" s="10" t="n"/>
      <c r="F293" s="10" t="n"/>
      <c r="G293" s="10" t="n"/>
      <c r="H293" s="10" t="n"/>
      <c r="I293" s="10" t="n"/>
      <c r="J293" s="10" t="n"/>
    </row>
    <row r="294">
      <c r="D294" s="9" t="n"/>
      <c r="E294" s="10" t="n"/>
      <c r="F294" s="10" t="n"/>
      <c r="G294" s="10" t="n"/>
      <c r="H294" s="10" t="n"/>
      <c r="I294" s="10" t="n"/>
      <c r="J294" s="10" t="n"/>
    </row>
    <row r="295">
      <c r="D295" s="9" t="n"/>
      <c r="E295" s="10" t="n"/>
      <c r="F295" s="10" t="n"/>
      <c r="G295" s="10" t="n"/>
      <c r="H295" s="10" t="n"/>
      <c r="I295" s="10" t="n"/>
      <c r="J295" s="10" t="n"/>
    </row>
    <row r="296">
      <c r="D296" s="9" t="n"/>
      <c r="E296" s="10" t="n"/>
      <c r="F296" s="10" t="n"/>
      <c r="G296" s="10" t="n"/>
      <c r="H296" s="10" t="n"/>
      <c r="I296" s="10" t="n"/>
      <c r="J296" s="10" t="n"/>
    </row>
    <row r="297">
      <c r="D297" s="9" t="n"/>
      <c r="E297" s="10" t="n"/>
      <c r="F297" s="10" t="n"/>
      <c r="G297" s="10" t="n"/>
      <c r="H297" s="10" t="n"/>
      <c r="I297" s="10" t="n"/>
      <c r="J297" s="10" t="n"/>
    </row>
    <row r="298">
      <c r="D298" s="9" t="n"/>
      <c r="E298" s="10" t="n"/>
      <c r="F298" s="10" t="n"/>
      <c r="G298" s="10" t="n"/>
      <c r="H298" s="10" t="n"/>
      <c r="I298" s="10" t="n"/>
      <c r="J298" s="10" t="n"/>
    </row>
    <row r="299">
      <c r="D299" s="9" t="n"/>
      <c r="E299" s="10" t="n"/>
      <c r="F299" s="10" t="n"/>
      <c r="G299" s="10" t="n"/>
      <c r="H299" s="10" t="n"/>
      <c r="I299" s="10" t="n"/>
      <c r="J299" s="10" t="n"/>
    </row>
    <row r="300">
      <c r="D300" s="9" t="n"/>
      <c r="E300" s="10" t="n"/>
      <c r="F300" s="10" t="n"/>
      <c r="G300" s="10" t="n"/>
      <c r="H300" s="10" t="n"/>
      <c r="I300" s="10" t="n"/>
      <c r="J300" s="10" t="n"/>
    </row>
    <row r="301">
      <c r="D301" s="9" t="n"/>
      <c r="E301" s="10" t="n"/>
      <c r="F301" s="10" t="n"/>
      <c r="G301" s="10" t="n"/>
      <c r="H301" s="10" t="n"/>
      <c r="I301" s="10" t="n"/>
      <c r="J301" s="10" t="n"/>
    </row>
  </sheetData>
  <dataValidations count="1">
    <dataValidation sqref="G2:G301" showDropDown="0" showInputMessage="0" showErrorMessage="1" allowBlank="1" error="La criticidad del equipo v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3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hidden="1" outlineLevel="1" width="13" customWidth="1" min="10" max="10"/>
    <col hidden="1" outlineLevel="1" width="13" customWidth="1" min="11" max="11"/>
    <col hidden="1" outlineLevel="1" width="13" customWidth="1" min="12" max="12"/>
    <col hidden="1" outlineLevel="1" width="13" customWidth="1" min="13" max="13"/>
    <col hidden="1" outlineLevel="1" width="13" customWidth="1" min="14" max="14"/>
    <col hidden="1" outlineLevel="1" width="13" customWidth="1" min="15" max="15"/>
    <col hidden="1" outlineLevel="1" width="13" customWidth="1" min="17" max="17"/>
    <col hidden="1" outlineLevel="1" width="13" customWidth="1" min="18" max="18"/>
    <col hidden="1" outlineLevel="1" width="13" customWidth="1" min="19" max="19"/>
    <col hidden="1" outlineLevel="1" width="13" customWidth="1" min="20" max="20"/>
    <col hidden="1" outlineLevel="1" width="13" customWidth="1" min="21" max="21"/>
    <col hidden="1" outlineLevel="1" width="13" customWidth="1" min="22" max="22"/>
    <col hidden="1" outlineLevel="1" width="13" customWidth="1" min="24" max="24"/>
    <col hidden="1" outlineLevel="1" width="13" customWidth="1" min="25" max="25"/>
    <col hidden="1" outlineLevel="1" width="13" customWidth="1" min="26" max="26"/>
    <col hidden="1" outlineLevel="1" width="13" customWidth="1" min="27" max="27"/>
    <col hidden="1" outlineLevel="1" width="13" customWidth="1" min="28" max="28"/>
    <col hidden="1" outlineLevel="1" width="13" customWidth="1" min="29" max="29"/>
    <col hidden="1" outlineLevel="1" width="13" customWidth="1" min="31" max="31"/>
    <col hidden="1" outlineLevel="1" width="13" customWidth="1" min="32" max="32"/>
    <col width="15" customWidth="1" min="33" max="33"/>
    <col hidden="1" outlineLevel="1" width="13" customWidth="1" min="34" max="34"/>
    <col hidden="1" outlineLevel="1" width="13" customWidth="1" min="35" max="35"/>
    <col width="8" customWidth="1" min="36" max="36"/>
    <col width="10" customWidth="1" min="37" max="37"/>
    <col width="12" customWidth="1" min="38" max="38"/>
    <col hidden="1" outlineLevel="1" width="13" customWidth="1" min="39" max="39"/>
    <col hidden="1" outlineLevel="1" width="13" customWidth="1" min="40" max="40"/>
    <col width="15" customWidth="1" min="41" max="41"/>
    <col width="15" customWidth="1" min="42" max="42"/>
    <col width="12" customWidth="1" min="43" max="43"/>
    <col width="12" customWidth="1" min="44" max="44"/>
    <col width="16" customWidth="1" min="45" max="45"/>
    <col width="8" customWidth="1" min="46" max="46"/>
    <col width="20" customWidth="1" min="47" max="47"/>
    <col width="20" customWidth="1" min="53" max="53"/>
    <col width="12" customWidth="1" min="54" max="54"/>
    <col width="12" customWidth="1" min="55" max="55"/>
    <col width="18" customWidth="1" min="56" max="56"/>
    <col width="10" customWidth="1" min="57" max="57"/>
  </cols>
  <sheetData>
    <row r="1">
      <c r="A1" s="8" t="inlineStr">
        <is>
          <t>SKU</t>
        </is>
      </c>
      <c r="B1" s="8" t="inlineStr">
        <is>
          <t>Descripcion</t>
        </is>
      </c>
      <c r="C1" s="8" t="inlineStr">
        <is>
          <t>Precio</t>
        </is>
      </c>
      <c r="D1" s="8" t="inlineStr">
        <is>
          <t>Consumo</t>
        </is>
      </c>
      <c r="E1" s="8" t="inlineStr">
        <is>
          <t>Lead time</t>
        </is>
      </c>
      <c r="F1" s="8" t="inlineStr">
        <is>
          <t>Crit. equipo</t>
        </is>
      </c>
      <c r="G1" s="8" t="inlineStr">
        <is>
          <t>Horas parada</t>
        </is>
      </c>
      <c r="H1" s="8" t="inlineStr">
        <is>
          <t>N prov.</t>
        </is>
      </c>
      <c r="J1" s="8" t="inlineStr">
        <is>
          <t>mm Precio</t>
        </is>
      </c>
      <c r="K1" s="8" t="inlineStr">
        <is>
          <t>mm Consumo</t>
        </is>
      </c>
      <c r="L1" s="8" t="inlineStr">
        <is>
          <t>mm Lead</t>
        </is>
      </c>
      <c r="M1" s="8" t="inlineStr">
        <is>
          <t>mm Crit</t>
        </is>
      </c>
      <c r="N1" s="8" t="inlineStr">
        <is>
          <t>mm Horas</t>
        </is>
      </c>
      <c r="O1" s="8" t="inlineStr">
        <is>
          <t>mm Prov</t>
        </is>
      </c>
      <c r="Q1" s="8" t="inlineStr">
        <is>
          <t>pln Precio</t>
        </is>
      </c>
      <c r="R1" s="8" t="inlineStr">
        <is>
          <t>pln Consumo</t>
        </is>
      </c>
      <c r="S1" s="8" t="inlineStr">
        <is>
          <t>pln Lead</t>
        </is>
      </c>
      <c r="T1" s="8" t="inlineStr">
        <is>
          <t>pln Crit</t>
        </is>
      </c>
      <c r="U1" s="8" t="inlineStr">
        <is>
          <t>pln Horas</t>
        </is>
      </c>
      <c r="V1" s="8" t="inlineStr">
        <is>
          <t>pln Prov</t>
        </is>
      </c>
      <c r="X1" s="8" t="inlineStr">
        <is>
          <t>v Precio</t>
        </is>
      </c>
      <c r="Y1" s="8" t="inlineStr">
        <is>
          <t>v Consumo</t>
        </is>
      </c>
      <c r="Z1" s="8" t="inlineStr">
        <is>
          <t>v Lead</t>
        </is>
      </c>
      <c r="AA1" s="8" t="inlineStr">
        <is>
          <t>v Crit</t>
        </is>
      </c>
      <c r="AB1" s="8" t="inlineStr">
        <is>
          <t>v Horas</t>
        </is>
      </c>
      <c r="AC1" s="8" t="inlineStr">
        <is>
          <t>v Prov</t>
        </is>
      </c>
      <c r="AE1" s="8" t="inlineStr">
        <is>
          <t>D+</t>
        </is>
      </c>
      <c r="AF1" s="8" t="inlineStr">
        <is>
          <t>D-</t>
        </is>
      </c>
      <c r="AG1" s="8" t="inlineStr">
        <is>
          <t>Indice criticidad</t>
        </is>
      </c>
      <c r="AH1" s="8" t="inlineStr">
        <is>
          <t>Impacto</t>
        </is>
      </c>
      <c r="AI1" s="8" t="inlineStr">
        <is>
          <t>% acumulado</t>
        </is>
      </c>
      <c r="AJ1" s="8" t="inlineStr">
        <is>
          <t>Clase</t>
        </is>
      </c>
      <c r="AK1" s="8" t="inlineStr">
        <is>
          <t>Servicio</t>
        </is>
      </c>
      <c r="AL1" s="8" t="inlineStr">
        <is>
          <t>Revision (d)</t>
        </is>
      </c>
      <c r="AM1" s="8" t="inlineStr">
        <is>
          <t>z</t>
        </is>
      </c>
      <c r="AN1" s="8" t="inlineStr">
        <is>
          <t>Demanda diaria</t>
        </is>
      </c>
      <c r="AO1" s="8" t="inlineStr">
        <is>
          <t>Stock seguridad</t>
        </is>
      </c>
      <c r="AP1" s="8" t="inlineStr">
        <is>
          <t>Nivel objetivo S</t>
        </is>
      </c>
      <c r="AQ1" s="8" t="inlineStr">
        <is>
          <t>Stock actual</t>
        </is>
      </c>
      <c r="AR1" s="8" t="inlineStr">
        <is>
          <t>Exceso (un)</t>
        </is>
      </c>
      <c r="AS1" s="8" t="inlineStr">
        <is>
          <t>Capital liberable</t>
        </is>
      </c>
      <c r="AT1" s="8" t="inlineStr">
        <is>
          <t>Riesgo</t>
        </is>
      </c>
      <c r="AU1" s="8" t="inlineStr">
        <is>
          <t>Accion</t>
        </is>
      </c>
      <c r="BA1" s="8" t="inlineStr">
        <is>
          <t>Criterio</t>
        </is>
      </c>
      <c r="BB1" s="8" t="inlineStr">
        <is>
          <t>Sentido</t>
        </is>
      </c>
      <c r="BC1" s="8" t="inlineStr">
        <is>
          <t>Entropia e</t>
        </is>
      </c>
      <c r="BD1" s="8" t="inlineStr">
        <is>
          <t>Divergencia</t>
        </is>
      </c>
      <c r="BE1" s="8" t="inlineStr">
        <is>
          <t>Peso</t>
        </is>
      </c>
    </row>
    <row r="2">
      <c r="A2">
        <f>IF(Datos!A2="","",Datos!A2)</f>
        <v/>
      </c>
      <c r="B2">
        <f>IF(Datos!A2="","",Datos!B2)</f>
        <v/>
      </c>
      <c r="C2">
        <f>IF(Datos!A2="","",IFERROR(MAX(0,N(Datos!D2)),0))</f>
        <v/>
      </c>
      <c r="D2">
        <f>IF(Datos!A2="","",IFERROR(MAX(0,N(Datos!E2)),0))</f>
        <v/>
      </c>
      <c r="E2">
        <f>IF(Datos!A2="","",IFERROR(MAX(0,N(Datos!F2)),0))</f>
        <v/>
      </c>
      <c r="F2">
        <f>IF(Datos!A2="","",IFERROR(MAX(0,N(Datos!G2)),0))</f>
        <v/>
      </c>
      <c r="G2">
        <f>IF(Datos!A2="","",IFERROR(MAX(0,N(Datos!H2)),0))</f>
        <v/>
      </c>
      <c r="H2">
        <f>IF(Datos!A2="","",IFERROR(MAX(0,N(Datos!I2)),0))</f>
        <v/>
      </c>
      <c r="J2">
        <f>IF(Datos!A2="","",IF(MAX(C$2:C$301)-MIN(C$2:C$301)&lt;0.000000001,0.5,(C2-MIN(C$2:C$301))/(MAX(C$2:C$301)-MIN(C$2:C$301)))+0.000000001)</f>
        <v/>
      </c>
      <c r="K2">
        <f>IF(Datos!A2="","",IF(MAX(D$2:D$301)-MIN(D$2:D$301)&lt;0.000000001,0.5,(D2-MIN(D$2:D$301))/(MAX(D$2:D$301)-MIN(D$2:D$301)))+0.000000001)</f>
        <v/>
      </c>
      <c r="L2">
        <f>IF(Datos!A2="","",IF(MAX(E$2:E$301)-MIN(E$2:E$301)&lt;0.000000001,0.5,(E2-MIN(E$2:E$301))/(MAX(E$2:E$301)-MIN(E$2:E$301)))+0.000000001)</f>
        <v/>
      </c>
      <c r="M2">
        <f>IF(Datos!A2="","",IF(MAX(F$2:F$301)-MIN(F$2:F$301)&lt;0.000000001,0.5,(F2-MIN(F$2:F$301))/(MAX(F$2:F$301)-MIN(F$2:F$301)))+0.000000001)</f>
        <v/>
      </c>
      <c r="N2">
        <f>IF(Datos!A2="","",IF(MAX(G$2:G$301)-MIN(G$2:G$301)&lt;0.000000001,0.5,(G2-MIN(G$2:G$301))/(MAX(G$2:G$301)-MIN(G$2:G$301)))+0.000000001)</f>
        <v/>
      </c>
      <c r="O2">
        <f>IF(Datos!A2="","",IF(MAX(H$2:H$301)-MIN(H$2:H$301)&lt;0.000000001,0.5,(H2-MIN(H$2:H$301))/(MAX(H$2:H$301)-MIN(H$2:H$301)))+0.000000001)</f>
        <v/>
      </c>
      <c r="Q2">
        <f>IF(Datos!A2="","",(J2/SUM(J$2:J$301))*LN(J2/SUM(J$2:J$301)))</f>
        <v/>
      </c>
      <c r="R2">
        <f>IF(Datos!A2="","",(K2/SUM(K$2:K$301))*LN(K2/SUM(K$2:K$301)))</f>
        <v/>
      </c>
      <c r="S2">
        <f>IF(Datos!A2="","",(L2/SUM(L$2:L$301))*LN(L2/SUM(L$2:L$301)))</f>
        <v/>
      </c>
      <c r="T2">
        <f>IF(Datos!A2="","",(M2/SUM(M$2:M$301))*LN(M2/SUM(M$2:M$301)))</f>
        <v/>
      </c>
      <c r="U2">
        <f>IF(Datos!A2="","",(N2/SUM(N$2:N$301))*LN(N2/SUM(N$2:N$301)))</f>
        <v/>
      </c>
      <c r="V2">
        <f>IF(Datos!A2="","",(O2/SUM(O$2:O$301))*LN(O2/SUM(O$2:O$301)))</f>
        <v/>
      </c>
      <c r="X2">
        <f>IF(Datos!A2="","",IF(SUMSQ(C$2:C$301)=0,0,C2/SQRT(SUMSQ(C$2:C$301)))*$BE$2)</f>
        <v/>
      </c>
      <c r="Y2">
        <f>IF(Datos!A2="","",IF(SUMSQ(D$2:D$301)=0,0,D2/SQRT(SUMSQ(D$2:D$301)))*$BE$3)</f>
        <v/>
      </c>
      <c r="Z2">
        <f>IF(Datos!A2="","",IF(SUMSQ(E$2:E$301)=0,0,E2/SQRT(SUMSQ(E$2:E$301)))*$BE$4)</f>
        <v/>
      </c>
      <c r="AA2">
        <f>IF(Datos!A2="","",IF(SUMSQ(F$2:F$301)=0,0,F2/SQRT(SUMSQ(F$2:F$301)))*$BE$5)</f>
        <v/>
      </c>
      <c r="AB2">
        <f>IF(Datos!A2="","",IF(SUMSQ(G$2:G$301)=0,0,G2/SQRT(SUMSQ(G$2:G$301)))*$BE$6)</f>
        <v/>
      </c>
      <c r="AC2">
        <f>IF(Datos!A2="","",IF(SUMSQ(H$2:H$301)=0,0,H2/SQRT(SUMSQ(H$2:H$301)))*$BE$7)</f>
        <v/>
      </c>
      <c r="AE2">
        <f>IF(Datos!A2="","",SQRT(SUMXMY2(X2:AC2,$X$303:$AC$303)))</f>
        <v/>
      </c>
      <c r="AF2">
        <f>IF(Datos!A2="","",SQRT(SUMXMY2(X2:AC2,$X$304:$AC$304)))</f>
        <v/>
      </c>
      <c r="AG2" s="11">
        <f>IF(Datos!A2="","",IF(AE2+AF2&lt;0.000000001,0.5,AF2/(AE2+AF2)))</f>
        <v/>
      </c>
      <c r="AH2">
        <f>IF(Datos!A2="","",AG2*MAX(C2*D2,1))</f>
        <v/>
      </c>
      <c r="AI2">
        <f>IF(Datos!A2="","",SUMIF($AH$2:$AH$301,"&gt;="&amp;AH2,$AH$2:$AH$301)/SUM($AH$2:$AH$301))</f>
        <v/>
      </c>
      <c r="AJ2" s="12">
        <f>IF(Datos!A2="","",IF(AI2&lt;=Parametros!$B$13,"A",IF(AI2&lt;=Parametros!$B$14,"B","C")))</f>
        <v/>
      </c>
      <c r="AK2" s="13">
        <f>IF(Datos!A2="","",VLOOKUP(AJ2,Parametros!$A$8:$C$10,2,FALSE))</f>
        <v/>
      </c>
      <c r="AL2">
        <f>IF(Datos!A2="","",VLOOKUP(AJ2,Parametros!$A$8:$C$10,3,FALSE))</f>
        <v/>
      </c>
      <c r="AM2">
        <f>IF(Datos!A2="","",NORMSINV(AK2))</f>
        <v/>
      </c>
      <c r="AN2">
        <f>IF(Datos!A2="","",D2/Parametros!$B$4)</f>
        <v/>
      </c>
      <c r="AO2">
        <f>IF(Datos!A2="","",MAX(0,ROUNDUP(AM2*(AN2*Parametros!$B$3)*SQRT((AL2+E2)),0)))</f>
        <v/>
      </c>
      <c r="AP2">
        <f>IF(Datos!A2="","",MAX(1,ROUNDUP(AN2*(AL2+E2)+AM2*(AN2*Parametros!$B$3)*SQRT((AL2+E2)),0)))</f>
        <v/>
      </c>
      <c r="AQ2">
        <f>IF(Datos!A2="","",IF(Datos!J2="","",Datos!J2))</f>
        <v/>
      </c>
      <c r="AR2">
        <f>IF(OR(Datos!A2="",AQ2=""),"",MAX(0,AQ2-AP2))</f>
        <v/>
      </c>
      <c r="AS2" s="10">
        <f>IF(OR(Datos!A2="",AQ2=""),"",AR2*C2)</f>
        <v/>
      </c>
      <c r="AT2" s="12">
        <f>IF(OR(Datos!A2="",AQ2=""),"",IF(AQ2&lt;AO2,"SI",""))</f>
        <v/>
      </c>
      <c r="AU2">
        <f>IF(Datos!A2="","",IF(AT2="SI","Reponer ahora",IF(AND(AQ2&lt;&gt;"",AR2&gt;0),"Bajar "&amp;TEXT(AR2,"#,##0")&amp;" un.","En rango")))</f>
        <v/>
      </c>
      <c r="BA2" t="inlineStr">
        <is>
          <t>Precio unitario</t>
        </is>
      </c>
      <c r="BB2" t="inlineStr">
        <is>
          <t>beneficio</t>
        </is>
      </c>
      <c r="BC2">
        <f>IF($BE$10&lt;2,1,-1/LN($BE$10)*SUM(Q$2:Q$301))</f>
        <v/>
      </c>
      <c r="BD2">
        <f>MAX(0,1-BC2)</f>
        <v/>
      </c>
      <c r="BE2" s="14">
        <f>IF(SUM($BD$2:$BD$7)&lt;0.000000001,1/6,BD2/SUM($BD$2:$BD$7))</f>
        <v/>
      </c>
    </row>
    <row r="3">
      <c r="A3">
        <f>IF(Datos!A3="","",Datos!A3)</f>
        <v/>
      </c>
      <c r="B3">
        <f>IF(Datos!A3="","",Datos!B3)</f>
        <v/>
      </c>
      <c r="C3">
        <f>IF(Datos!A3="","",IFERROR(MAX(0,N(Datos!D3)),0))</f>
        <v/>
      </c>
      <c r="D3">
        <f>IF(Datos!A3="","",IFERROR(MAX(0,N(Datos!E3)),0))</f>
        <v/>
      </c>
      <c r="E3">
        <f>IF(Datos!A3="","",IFERROR(MAX(0,N(Datos!F3)),0))</f>
        <v/>
      </c>
      <c r="F3">
        <f>IF(Datos!A3="","",IFERROR(MAX(0,N(Datos!G3)),0))</f>
        <v/>
      </c>
      <c r="G3">
        <f>IF(Datos!A3="","",IFERROR(MAX(0,N(Datos!H3)),0))</f>
        <v/>
      </c>
      <c r="H3">
        <f>IF(Datos!A3="","",IFERROR(MAX(0,N(Datos!I3)),0))</f>
        <v/>
      </c>
      <c r="J3">
        <f>IF(Datos!A3="","",IF(MAX(C$2:C$301)-MIN(C$2:C$301)&lt;0.000000001,0.5,(C3-MIN(C$2:C$301))/(MAX(C$2:C$301)-MIN(C$2:C$301)))+0.000000001)</f>
        <v/>
      </c>
      <c r="K3">
        <f>IF(Datos!A3="","",IF(MAX(D$2:D$301)-MIN(D$2:D$301)&lt;0.000000001,0.5,(D3-MIN(D$2:D$301))/(MAX(D$2:D$301)-MIN(D$2:D$301)))+0.000000001)</f>
        <v/>
      </c>
      <c r="L3">
        <f>IF(Datos!A3="","",IF(MAX(E$2:E$301)-MIN(E$2:E$301)&lt;0.000000001,0.5,(E3-MIN(E$2:E$301))/(MAX(E$2:E$301)-MIN(E$2:E$301)))+0.000000001)</f>
        <v/>
      </c>
      <c r="M3">
        <f>IF(Datos!A3="","",IF(MAX(F$2:F$301)-MIN(F$2:F$301)&lt;0.000000001,0.5,(F3-MIN(F$2:F$301))/(MAX(F$2:F$301)-MIN(F$2:F$301)))+0.000000001)</f>
        <v/>
      </c>
      <c r="N3">
        <f>IF(Datos!A3="","",IF(MAX(G$2:G$301)-MIN(G$2:G$301)&lt;0.000000001,0.5,(G3-MIN(G$2:G$301))/(MAX(G$2:G$301)-MIN(G$2:G$301)))+0.000000001)</f>
        <v/>
      </c>
      <c r="O3">
        <f>IF(Datos!A3="","",IF(MAX(H$2:H$301)-MIN(H$2:H$301)&lt;0.000000001,0.5,(H3-MIN(H$2:H$301))/(MAX(H$2:H$301)-MIN(H$2:H$301)))+0.000000001)</f>
        <v/>
      </c>
      <c r="Q3">
        <f>IF(Datos!A3="","",(J3/SUM(J$2:J$301))*LN(J3/SUM(J$2:J$301)))</f>
        <v/>
      </c>
      <c r="R3">
        <f>IF(Datos!A3="","",(K3/SUM(K$2:K$301))*LN(K3/SUM(K$2:K$301)))</f>
        <v/>
      </c>
      <c r="S3">
        <f>IF(Datos!A3="","",(L3/SUM(L$2:L$301))*LN(L3/SUM(L$2:L$301)))</f>
        <v/>
      </c>
      <c r="T3">
        <f>IF(Datos!A3="","",(M3/SUM(M$2:M$301))*LN(M3/SUM(M$2:M$301)))</f>
        <v/>
      </c>
      <c r="U3">
        <f>IF(Datos!A3="","",(N3/SUM(N$2:N$301))*LN(N3/SUM(N$2:N$301)))</f>
        <v/>
      </c>
      <c r="V3">
        <f>IF(Datos!A3="","",(O3/SUM(O$2:O$301))*LN(O3/SUM(O$2:O$301)))</f>
        <v/>
      </c>
      <c r="X3">
        <f>IF(Datos!A3="","",IF(SUMSQ(C$2:C$301)=0,0,C3/SQRT(SUMSQ(C$2:C$301)))*$BE$2)</f>
        <v/>
      </c>
      <c r="Y3">
        <f>IF(Datos!A3="","",IF(SUMSQ(D$2:D$301)=0,0,D3/SQRT(SUMSQ(D$2:D$301)))*$BE$3)</f>
        <v/>
      </c>
      <c r="Z3">
        <f>IF(Datos!A3="","",IF(SUMSQ(E$2:E$301)=0,0,E3/SQRT(SUMSQ(E$2:E$301)))*$BE$4)</f>
        <v/>
      </c>
      <c r="AA3">
        <f>IF(Datos!A3="","",IF(SUMSQ(F$2:F$301)=0,0,F3/SQRT(SUMSQ(F$2:F$301)))*$BE$5)</f>
        <v/>
      </c>
      <c r="AB3">
        <f>IF(Datos!A3="","",IF(SUMSQ(G$2:G$301)=0,0,G3/SQRT(SUMSQ(G$2:G$301)))*$BE$6)</f>
        <v/>
      </c>
      <c r="AC3">
        <f>IF(Datos!A3="","",IF(SUMSQ(H$2:H$301)=0,0,H3/SQRT(SUMSQ(H$2:H$301)))*$BE$7)</f>
        <v/>
      </c>
      <c r="AE3">
        <f>IF(Datos!A3="","",SQRT(SUMXMY2(X3:AC3,$X$303:$AC$303)))</f>
        <v/>
      </c>
      <c r="AF3">
        <f>IF(Datos!A3="","",SQRT(SUMXMY2(X3:AC3,$X$304:$AC$304)))</f>
        <v/>
      </c>
      <c r="AG3" s="11">
        <f>IF(Datos!A3="","",IF(AE3+AF3&lt;0.000000001,0.5,AF3/(AE3+AF3)))</f>
        <v/>
      </c>
      <c r="AH3">
        <f>IF(Datos!A3="","",AG3*MAX(C3*D3,1))</f>
        <v/>
      </c>
      <c r="AI3">
        <f>IF(Datos!A3="","",SUMIF($AH$2:$AH$301,"&gt;="&amp;AH3,$AH$2:$AH$301)/SUM($AH$2:$AH$301))</f>
        <v/>
      </c>
      <c r="AJ3" s="12">
        <f>IF(Datos!A3="","",IF(AI3&lt;=Parametros!$B$13,"A",IF(AI3&lt;=Parametros!$B$14,"B","C")))</f>
        <v/>
      </c>
      <c r="AK3" s="13">
        <f>IF(Datos!A3="","",VLOOKUP(AJ3,Parametros!$A$8:$C$10,2,FALSE))</f>
        <v/>
      </c>
      <c r="AL3">
        <f>IF(Datos!A3="","",VLOOKUP(AJ3,Parametros!$A$8:$C$10,3,FALSE))</f>
        <v/>
      </c>
      <c r="AM3">
        <f>IF(Datos!A3="","",NORMSINV(AK3))</f>
        <v/>
      </c>
      <c r="AN3">
        <f>IF(Datos!A3="","",D3/Parametros!$B$4)</f>
        <v/>
      </c>
      <c r="AO3">
        <f>IF(Datos!A3="","",MAX(0,ROUNDUP(AM3*(AN3*Parametros!$B$3)*SQRT((AL3+E3)),0)))</f>
        <v/>
      </c>
      <c r="AP3">
        <f>IF(Datos!A3="","",MAX(1,ROUNDUP(AN3*(AL3+E3)+AM3*(AN3*Parametros!$B$3)*SQRT((AL3+E3)),0)))</f>
        <v/>
      </c>
      <c r="AQ3">
        <f>IF(Datos!A3="","",IF(Datos!J3="","",Datos!J3))</f>
        <v/>
      </c>
      <c r="AR3">
        <f>IF(OR(Datos!A3="",AQ3=""),"",MAX(0,AQ3-AP3))</f>
        <v/>
      </c>
      <c r="AS3" s="10">
        <f>IF(OR(Datos!A3="",AQ3=""),"",AR3*C3)</f>
        <v/>
      </c>
      <c r="AT3" s="12">
        <f>IF(OR(Datos!A3="",AQ3=""),"",IF(AQ3&lt;AO3,"SI",""))</f>
        <v/>
      </c>
      <c r="AU3">
        <f>IF(Datos!A3="","",IF(AT3="SI","Reponer ahora",IF(AND(AQ3&lt;&gt;"",AR3&gt;0),"Bajar "&amp;TEXT(AR3,"#,##0")&amp;" un.","En rango")))</f>
        <v/>
      </c>
      <c r="BA3" t="inlineStr">
        <is>
          <t>Consumo anual</t>
        </is>
      </c>
      <c r="BB3" t="inlineStr">
        <is>
          <t>beneficio</t>
        </is>
      </c>
      <c r="BC3">
        <f>IF($BE$10&lt;2,1,-1/LN($BE$10)*SUM(R$2:R$301))</f>
        <v/>
      </c>
      <c r="BD3">
        <f>MAX(0,1-BC3)</f>
        <v/>
      </c>
      <c r="BE3" s="14">
        <f>IF(SUM($BD$2:$BD$7)&lt;0.000000001,1/6,BD3/SUM($BD$2:$BD$7))</f>
        <v/>
      </c>
    </row>
    <row r="4">
      <c r="A4">
        <f>IF(Datos!A4="","",Datos!A4)</f>
        <v/>
      </c>
      <c r="B4">
        <f>IF(Datos!A4="","",Datos!B4)</f>
        <v/>
      </c>
      <c r="C4">
        <f>IF(Datos!A4="","",IFERROR(MAX(0,N(Datos!D4)),0))</f>
        <v/>
      </c>
      <c r="D4">
        <f>IF(Datos!A4="","",IFERROR(MAX(0,N(Datos!E4)),0))</f>
        <v/>
      </c>
      <c r="E4">
        <f>IF(Datos!A4="","",IFERROR(MAX(0,N(Datos!F4)),0))</f>
        <v/>
      </c>
      <c r="F4">
        <f>IF(Datos!A4="","",IFERROR(MAX(0,N(Datos!G4)),0))</f>
        <v/>
      </c>
      <c r="G4">
        <f>IF(Datos!A4="","",IFERROR(MAX(0,N(Datos!H4)),0))</f>
        <v/>
      </c>
      <c r="H4">
        <f>IF(Datos!A4="","",IFERROR(MAX(0,N(Datos!I4)),0))</f>
        <v/>
      </c>
      <c r="J4">
        <f>IF(Datos!A4="","",IF(MAX(C$2:C$301)-MIN(C$2:C$301)&lt;0.000000001,0.5,(C4-MIN(C$2:C$301))/(MAX(C$2:C$301)-MIN(C$2:C$301)))+0.000000001)</f>
        <v/>
      </c>
      <c r="K4">
        <f>IF(Datos!A4="","",IF(MAX(D$2:D$301)-MIN(D$2:D$301)&lt;0.000000001,0.5,(D4-MIN(D$2:D$301))/(MAX(D$2:D$301)-MIN(D$2:D$301)))+0.000000001)</f>
        <v/>
      </c>
      <c r="L4">
        <f>IF(Datos!A4="","",IF(MAX(E$2:E$301)-MIN(E$2:E$301)&lt;0.000000001,0.5,(E4-MIN(E$2:E$301))/(MAX(E$2:E$301)-MIN(E$2:E$301)))+0.000000001)</f>
        <v/>
      </c>
      <c r="M4">
        <f>IF(Datos!A4="","",IF(MAX(F$2:F$301)-MIN(F$2:F$301)&lt;0.000000001,0.5,(F4-MIN(F$2:F$301))/(MAX(F$2:F$301)-MIN(F$2:F$301)))+0.000000001)</f>
        <v/>
      </c>
      <c r="N4">
        <f>IF(Datos!A4="","",IF(MAX(G$2:G$301)-MIN(G$2:G$301)&lt;0.000000001,0.5,(G4-MIN(G$2:G$301))/(MAX(G$2:G$301)-MIN(G$2:G$301)))+0.000000001)</f>
        <v/>
      </c>
      <c r="O4">
        <f>IF(Datos!A4="","",IF(MAX(H$2:H$301)-MIN(H$2:H$301)&lt;0.000000001,0.5,(H4-MIN(H$2:H$301))/(MAX(H$2:H$301)-MIN(H$2:H$301)))+0.000000001)</f>
        <v/>
      </c>
      <c r="Q4">
        <f>IF(Datos!A4="","",(J4/SUM(J$2:J$301))*LN(J4/SUM(J$2:J$301)))</f>
        <v/>
      </c>
      <c r="R4">
        <f>IF(Datos!A4="","",(K4/SUM(K$2:K$301))*LN(K4/SUM(K$2:K$301)))</f>
        <v/>
      </c>
      <c r="S4">
        <f>IF(Datos!A4="","",(L4/SUM(L$2:L$301))*LN(L4/SUM(L$2:L$301)))</f>
        <v/>
      </c>
      <c r="T4">
        <f>IF(Datos!A4="","",(M4/SUM(M$2:M$301))*LN(M4/SUM(M$2:M$301)))</f>
        <v/>
      </c>
      <c r="U4">
        <f>IF(Datos!A4="","",(N4/SUM(N$2:N$301))*LN(N4/SUM(N$2:N$301)))</f>
        <v/>
      </c>
      <c r="V4">
        <f>IF(Datos!A4="","",(O4/SUM(O$2:O$301))*LN(O4/SUM(O$2:O$301)))</f>
        <v/>
      </c>
      <c r="X4">
        <f>IF(Datos!A4="","",IF(SUMSQ(C$2:C$301)=0,0,C4/SQRT(SUMSQ(C$2:C$301)))*$BE$2)</f>
        <v/>
      </c>
      <c r="Y4">
        <f>IF(Datos!A4="","",IF(SUMSQ(D$2:D$301)=0,0,D4/SQRT(SUMSQ(D$2:D$301)))*$BE$3)</f>
        <v/>
      </c>
      <c r="Z4">
        <f>IF(Datos!A4="","",IF(SUMSQ(E$2:E$301)=0,0,E4/SQRT(SUMSQ(E$2:E$301)))*$BE$4)</f>
        <v/>
      </c>
      <c r="AA4">
        <f>IF(Datos!A4="","",IF(SUMSQ(F$2:F$301)=0,0,F4/SQRT(SUMSQ(F$2:F$301)))*$BE$5)</f>
        <v/>
      </c>
      <c r="AB4">
        <f>IF(Datos!A4="","",IF(SUMSQ(G$2:G$301)=0,0,G4/SQRT(SUMSQ(G$2:G$301)))*$BE$6)</f>
        <v/>
      </c>
      <c r="AC4">
        <f>IF(Datos!A4="","",IF(SUMSQ(H$2:H$301)=0,0,H4/SQRT(SUMSQ(H$2:H$301)))*$BE$7)</f>
        <v/>
      </c>
      <c r="AE4">
        <f>IF(Datos!A4="","",SQRT(SUMXMY2(X4:AC4,$X$303:$AC$303)))</f>
        <v/>
      </c>
      <c r="AF4">
        <f>IF(Datos!A4="","",SQRT(SUMXMY2(X4:AC4,$X$304:$AC$304)))</f>
        <v/>
      </c>
      <c r="AG4" s="11">
        <f>IF(Datos!A4="","",IF(AE4+AF4&lt;0.000000001,0.5,AF4/(AE4+AF4)))</f>
        <v/>
      </c>
      <c r="AH4">
        <f>IF(Datos!A4="","",AG4*MAX(C4*D4,1))</f>
        <v/>
      </c>
      <c r="AI4">
        <f>IF(Datos!A4="","",SUMIF($AH$2:$AH$301,"&gt;="&amp;AH4,$AH$2:$AH$301)/SUM($AH$2:$AH$301))</f>
        <v/>
      </c>
      <c r="AJ4" s="12">
        <f>IF(Datos!A4="","",IF(AI4&lt;=Parametros!$B$13,"A",IF(AI4&lt;=Parametros!$B$14,"B","C")))</f>
        <v/>
      </c>
      <c r="AK4" s="13">
        <f>IF(Datos!A4="","",VLOOKUP(AJ4,Parametros!$A$8:$C$10,2,FALSE))</f>
        <v/>
      </c>
      <c r="AL4">
        <f>IF(Datos!A4="","",VLOOKUP(AJ4,Parametros!$A$8:$C$10,3,FALSE))</f>
        <v/>
      </c>
      <c r="AM4">
        <f>IF(Datos!A4="","",NORMSINV(AK4))</f>
        <v/>
      </c>
      <c r="AN4">
        <f>IF(Datos!A4="","",D4/Parametros!$B$4)</f>
        <v/>
      </c>
      <c r="AO4">
        <f>IF(Datos!A4="","",MAX(0,ROUNDUP(AM4*(AN4*Parametros!$B$3)*SQRT((AL4+E4)),0)))</f>
        <v/>
      </c>
      <c r="AP4">
        <f>IF(Datos!A4="","",MAX(1,ROUNDUP(AN4*(AL4+E4)+AM4*(AN4*Parametros!$B$3)*SQRT((AL4+E4)),0)))</f>
        <v/>
      </c>
      <c r="AQ4">
        <f>IF(Datos!A4="","",IF(Datos!J4="","",Datos!J4))</f>
        <v/>
      </c>
      <c r="AR4">
        <f>IF(OR(Datos!A4="",AQ4=""),"",MAX(0,AQ4-AP4))</f>
        <v/>
      </c>
      <c r="AS4" s="10">
        <f>IF(OR(Datos!A4="",AQ4=""),"",AR4*C4)</f>
        <v/>
      </c>
      <c r="AT4" s="12">
        <f>IF(OR(Datos!A4="",AQ4=""),"",IF(AQ4&lt;AO4,"SI",""))</f>
        <v/>
      </c>
      <c r="AU4">
        <f>IF(Datos!A4="","",IF(AT4="SI","Reponer ahora",IF(AND(AQ4&lt;&gt;"",AR4&gt;0),"Bajar "&amp;TEXT(AR4,"#,##0")&amp;" un.","En rango")))</f>
        <v/>
      </c>
      <c r="BA4" t="inlineStr">
        <is>
          <t>Lead time (dias)</t>
        </is>
      </c>
      <c r="BB4" t="inlineStr">
        <is>
          <t>beneficio</t>
        </is>
      </c>
      <c r="BC4">
        <f>IF($BE$10&lt;2,1,-1/LN($BE$10)*SUM(S$2:S$301))</f>
        <v/>
      </c>
      <c r="BD4">
        <f>MAX(0,1-BC4)</f>
        <v/>
      </c>
      <c r="BE4" s="14">
        <f>IF(SUM($BD$2:$BD$7)&lt;0.000000001,1/6,BD4/SUM($BD$2:$BD$7))</f>
        <v/>
      </c>
    </row>
    <row r="5">
      <c r="A5">
        <f>IF(Datos!A5="","",Datos!A5)</f>
        <v/>
      </c>
      <c r="B5">
        <f>IF(Datos!A5="","",Datos!B5)</f>
        <v/>
      </c>
      <c r="C5">
        <f>IF(Datos!A5="","",IFERROR(MAX(0,N(Datos!D5)),0))</f>
        <v/>
      </c>
      <c r="D5">
        <f>IF(Datos!A5="","",IFERROR(MAX(0,N(Datos!E5)),0))</f>
        <v/>
      </c>
      <c r="E5">
        <f>IF(Datos!A5="","",IFERROR(MAX(0,N(Datos!F5)),0))</f>
        <v/>
      </c>
      <c r="F5">
        <f>IF(Datos!A5="","",IFERROR(MAX(0,N(Datos!G5)),0))</f>
        <v/>
      </c>
      <c r="G5">
        <f>IF(Datos!A5="","",IFERROR(MAX(0,N(Datos!H5)),0))</f>
        <v/>
      </c>
      <c r="H5">
        <f>IF(Datos!A5="","",IFERROR(MAX(0,N(Datos!I5)),0))</f>
        <v/>
      </c>
      <c r="J5">
        <f>IF(Datos!A5="","",IF(MAX(C$2:C$301)-MIN(C$2:C$301)&lt;0.000000001,0.5,(C5-MIN(C$2:C$301))/(MAX(C$2:C$301)-MIN(C$2:C$301)))+0.000000001)</f>
        <v/>
      </c>
      <c r="K5">
        <f>IF(Datos!A5="","",IF(MAX(D$2:D$301)-MIN(D$2:D$301)&lt;0.000000001,0.5,(D5-MIN(D$2:D$301))/(MAX(D$2:D$301)-MIN(D$2:D$301)))+0.000000001)</f>
        <v/>
      </c>
      <c r="L5">
        <f>IF(Datos!A5="","",IF(MAX(E$2:E$301)-MIN(E$2:E$301)&lt;0.000000001,0.5,(E5-MIN(E$2:E$301))/(MAX(E$2:E$301)-MIN(E$2:E$301)))+0.000000001)</f>
        <v/>
      </c>
      <c r="M5">
        <f>IF(Datos!A5="","",IF(MAX(F$2:F$301)-MIN(F$2:F$301)&lt;0.000000001,0.5,(F5-MIN(F$2:F$301))/(MAX(F$2:F$301)-MIN(F$2:F$301)))+0.000000001)</f>
        <v/>
      </c>
      <c r="N5">
        <f>IF(Datos!A5="","",IF(MAX(G$2:G$301)-MIN(G$2:G$301)&lt;0.000000001,0.5,(G5-MIN(G$2:G$301))/(MAX(G$2:G$301)-MIN(G$2:G$301)))+0.000000001)</f>
        <v/>
      </c>
      <c r="O5">
        <f>IF(Datos!A5="","",IF(MAX(H$2:H$301)-MIN(H$2:H$301)&lt;0.000000001,0.5,(H5-MIN(H$2:H$301))/(MAX(H$2:H$301)-MIN(H$2:H$301)))+0.000000001)</f>
        <v/>
      </c>
      <c r="Q5">
        <f>IF(Datos!A5="","",(J5/SUM(J$2:J$301))*LN(J5/SUM(J$2:J$301)))</f>
        <v/>
      </c>
      <c r="R5">
        <f>IF(Datos!A5="","",(K5/SUM(K$2:K$301))*LN(K5/SUM(K$2:K$301)))</f>
        <v/>
      </c>
      <c r="S5">
        <f>IF(Datos!A5="","",(L5/SUM(L$2:L$301))*LN(L5/SUM(L$2:L$301)))</f>
        <v/>
      </c>
      <c r="T5">
        <f>IF(Datos!A5="","",(M5/SUM(M$2:M$301))*LN(M5/SUM(M$2:M$301)))</f>
        <v/>
      </c>
      <c r="U5">
        <f>IF(Datos!A5="","",(N5/SUM(N$2:N$301))*LN(N5/SUM(N$2:N$301)))</f>
        <v/>
      </c>
      <c r="V5">
        <f>IF(Datos!A5="","",(O5/SUM(O$2:O$301))*LN(O5/SUM(O$2:O$301)))</f>
        <v/>
      </c>
      <c r="X5">
        <f>IF(Datos!A5="","",IF(SUMSQ(C$2:C$301)=0,0,C5/SQRT(SUMSQ(C$2:C$301)))*$BE$2)</f>
        <v/>
      </c>
      <c r="Y5">
        <f>IF(Datos!A5="","",IF(SUMSQ(D$2:D$301)=0,0,D5/SQRT(SUMSQ(D$2:D$301)))*$BE$3)</f>
        <v/>
      </c>
      <c r="Z5">
        <f>IF(Datos!A5="","",IF(SUMSQ(E$2:E$301)=0,0,E5/SQRT(SUMSQ(E$2:E$301)))*$BE$4)</f>
        <v/>
      </c>
      <c r="AA5">
        <f>IF(Datos!A5="","",IF(SUMSQ(F$2:F$301)=0,0,F5/SQRT(SUMSQ(F$2:F$301)))*$BE$5)</f>
        <v/>
      </c>
      <c r="AB5">
        <f>IF(Datos!A5="","",IF(SUMSQ(G$2:G$301)=0,0,G5/SQRT(SUMSQ(G$2:G$301)))*$BE$6)</f>
        <v/>
      </c>
      <c r="AC5">
        <f>IF(Datos!A5="","",IF(SUMSQ(H$2:H$301)=0,0,H5/SQRT(SUMSQ(H$2:H$301)))*$BE$7)</f>
        <v/>
      </c>
      <c r="AE5">
        <f>IF(Datos!A5="","",SQRT(SUMXMY2(X5:AC5,$X$303:$AC$303)))</f>
        <v/>
      </c>
      <c r="AF5">
        <f>IF(Datos!A5="","",SQRT(SUMXMY2(X5:AC5,$X$304:$AC$304)))</f>
        <v/>
      </c>
      <c r="AG5" s="11">
        <f>IF(Datos!A5="","",IF(AE5+AF5&lt;0.000000001,0.5,AF5/(AE5+AF5)))</f>
        <v/>
      </c>
      <c r="AH5">
        <f>IF(Datos!A5="","",AG5*MAX(C5*D5,1))</f>
        <v/>
      </c>
      <c r="AI5">
        <f>IF(Datos!A5="","",SUMIF($AH$2:$AH$301,"&gt;="&amp;AH5,$AH$2:$AH$301)/SUM($AH$2:$AH$301))</f>
        <v/>
      </c>
      <c r="AJ5" s="12">
        <f>IF(Datos!A5="","",IF(AI5&lt;=Parametros!$B$13,"A",IF(AI5&lt;=Parametros!$B$14,"B","C")))</f>
        <v/>
      </c>
      <c r="AK5" s="13">
        <f>IF(Datos!A5="","",VLOOKUP(AJ5,Parametros!$A$8:$C$10,2,FALSE))</f>
        <v/>
      </c>
      <c r="AL5">
        <f>IF(Datos!A5="","",VLOOKUP(AJ5,Parametros!$A$8:$C$10,3,FALSE))</f>
        <v/>
      </c>
      <c r="AM5">
        <f>IF(Datos!A5="","",NORMSINV(AK5))</f>
        <v/>
      </c>
      <c r="AN5">
        <f>IF(Datos!A5="","",D5/Parametros!$B$4)</f>
        <v/>
      </c>
      <c r="AO5">
        <f>IF(Datos!A5="","",MAX(0,ROUNDUP(AM5*(AN5*Parametros!$B$3)*SQRT((AL5+E5)),0)))</f>
        <v/>
      </c>
      <c r="AP5">
        <f>IF(Datos!A5="","",MAX(1,ROUNDUP(AN5*(AL5+E5)+AM5*(AN5*Parametros!$B$3)*SQRT((AL5+E5)),0)))</f>
        <v/>
      </c>
      <c r="AQ5">
        <f>IF(Datos!A5="","",IF(Datos!J5="","",Datos!J5))</f>
        <v/>
      </c>
      <c r="AR5">
        <f>IF(OR(Datos!A5="",AQ5=""),"",MAX(0,AQ5-AP5))</f>
        <v/>
      </c>
      <c r="AS5" s="10">
        <f>IF(OR(Datos!A5="",AQ5=""),"",AR5*C5)</f>
        <v/>
      </c>
      <c r="AT5" s="12">
        <f>IF(OR(Datos!A5="",AQ5=""),"",IF(AQ5&lt;AO5,"SI",""))</f>
        <v/>
      </c>
      <c r="AU5">
        <f>IF(Datos!A5="","",IF(AT5="SI","Reponer ahora",IF(AND(AQ5&lt;&gt;"",AR5&gt;0),"Bajar "&amp;TEXT(AR5,"#,##0")&amp;" un.","En rango")))</f>
        <v/>
      </c>
      <c r="BA5" t="inlineStr">
        <is>
          <t>Criticidad equipo</t>
        </is>
      </c>
      <c r="BB5" t="inlineStr">
        <is>
          <t>beneficio</t>
        </is>
      </c>
      <c r="BC5">
        <f>IF($BE$10&lt;2,1,-1/LN($BE$10)*SUM(T$2:T$301))</f>
        <v/>
      </c>
      <c r="BD5">
        <f>MAX(0,1-BC5)</f>
        <v/>
      </c>
      <c r="BE5" s="14">
        <f>IF(SUM($BD$2:$BD$7)&lt;0.000000001,1/6,BD5/SUM($BD$2:$BD$7))</f>
        <v/>
      </c>
    </row>
    <row r="6">
      <c r="A6">
        <f>IF(Datos!A6="","",Datos!A6)</f>
        <v/>
      </c>
      <c r="B6">
        <f>IF(Datos!A6="","",Datos!B6)</f>
        <v/>
      </c>
      <c r="C6">
        <f>IF(Datos!A6="","",IFERROR(MAX(0,N(Datos!D6)),0))</f>
        <v/>
      </c>
      <c r="D6">
        <f>IF(Datos!A6="","",IFERROR(MAX(0,N(Datos!E6)),0))</f>
        <v/>
      </c>
      <c r="E6">
        <f>IF(Datos!A6="","",IFERROR(MAX(0,N(Datos!F6)),0))</f>
        <v/>
      </c>
      <c r="F6">
        <f>IF(Datos!A6="","",IFERROR(MAX(0,N(Datos!G6)),0))</f>
        <v/>
      </c>
      <c r="G6">
        <f>IF(Datos!A6="","",IFERROR(MAX(0,N(Datos!H6)),0))</f>
        <v/>
      </c>
      <c r="H6">
        <f>IF(Datos!A6="","",IFERROR(MAX(0,N(Datos!I6)),0))</f>
        <v/>
      </c>
      <c r="J6">
        <f>IF(Datos!A6="","",IF(MAX(C$2:C$301)-MIN(C$2:C$301)&lt;0.000000001,0.5,(C6-MIN(C$2:C$301))/(MAX(C$2:C$301)-MIN(C$2:C$301)))+0.000000001)</f>
        <v/>
      </c>
      <c r="K6">
        <f>IF(Datos!A6="","",IF(MAX(D$2:D$301)-MIN(D$2:D$301)&lt;0.000000001,0.5,(D6-MIN(D$2:D$301))/(MAX(D$2:D$301)-MIN(D$2:D$301)))+0.000000001)</f>
        <v/>
      </c>
      <c r="L6">
        <f>IF(Datos!A6="","",IF(MAX(E$2:E$301)-MIN(E$2:E$301)&lt;0.000000001,0.5,(E6-MIN(E$2:E$301))/(MAX(E$2:E$301)-MIN(E$2:E$301)))+0.000000001)</f>
        <v/>
      </c>
      <c r="M6">
        <f>IF(Datos!A6="","",IF(MAX(F$2:F$301)-MIN(F$2:F$301)&lt;0.000000001,0.5,(F6-MIN(F$2:F$301))/(MAX(F$2:F$301)-MIN(F$2:F$301)))+0.000000001)</f>
        <v/>
      </c>
      <c r="N6">
        <f>IF(Datos!A6="","",IF(MAX(G$2:G$301)-MIN(G$2:G$301)&lt;0.000000001,0.5,(G6-MIN(G$2:G$301))/(MAX(G$2:G$301)-MIN(G$2:G$301)))+0.000000001)</f>
        <v/>
      </c>
      <c r="O6">
        <f>IF(Datos!A6="","",IF(MAX(H$2:H$301)-MIN(H$2:H$301)&lt;0.000000001,0.5,(H6-MIN(H$2:H$301))/(MAX(H$2:H$301)-MIN(H$2:H$301)))+0.000000001)</f>
        <v/>
      </c>
      <c r="Q6">
        <f>IF(Datos!A6="","",(J6/SUM(J$2:J$301))*LN(J6/SUM(J$2:J$301)))</f>
        <v/>
      </c>
      <c r="R6">
        <f>IF(Datos!A6="","",(K6/SUM(K$2:K$301))*LN(K6/SUM(K$2:K$301)))</f>
        <v/>
      </c>
      <c r="S6">
        <f>IF(Datos!A6="","",(L6/SUM(L$2:L$301))*LN(L6/SUM(L$2:L$301)))</f>
        <v/>
      </c>
      <c r="T6">
        <f>IF(Datos!A6="","",(M6/SUM(M$2:M$301))*LN(M6/SUM(M$2:M$301)))</f>
        <v/>
      </c>
      <c r="U6">
        <f>IF(Datos!A6="","",(N6/SUM(N$2:N$301))*LN(N6/SUM(N$2:N$301)))</f>
        <v/>
      </c>
      <c r="V6">
        <f>IF(Datos!A6="","",(O6/SUM(O$2:O$301))*LN(O6/SUM(O$2:O$301)))</f>
        <v/>
      </c>
      <c r="X6">
        <f>IF(Datos!A6="","",IF(SUMSQ(C$2:C$301)=0,0,C6/SQRT(SUMSQ(C$2:C$301)))*$BE$2)</f>
        <v/>
      </c>
      <c r="Y6">
        <f>IF(Datos!A6="","",IF(SUMSQ(D$2:D$301)=0,0,D6/SQRT(SUMSQ(D$2:D$301)))*$BE$3)</f>
        <v/>
      </c>
      <c r="Z6">
        <f>IF(Datos!A6="","",IF(SUMSQ(E$2:E$301)=0,0,E6/SQRT(SUMSQ(E$2:E$301)))*$BE$4)</f>
        <v/>
      </c>
      <c r="AA6">
        <f>IF(Datos!A6="","",IF(SUMSQ(F$2:F$301)=0,0,F6/SQRT(SUMSQ(F$2:F$301)))*$BE$5)</f>
        <v/>
      </c>
      <c r="AB6">
        <f>IF(Datos!A6="","",IF(SUMSQ(G$2:G$301)=0,0,G6/SQRT(SUMSQ(G$2:G$301)))*$BE$6)</f>
        <v/>
      </c>
      <c r="AC6">
        <f>IF(Datos!A6="","",IF(SUMSQ(H$2:H$301)=0,0,H6/SQRT(SUMSQ(H$2:H$301)))*$BE$7)</f>
        <v/>
      </c>
      <c r="AE6">
        <f>IF(Datos!A6="","",SQRT(SUMXMY2(X6:AC6,$X$303:$AC$303)))</f>
        <v/>
      </c>
      <c r="AF6">
        <f>IF(Datos!A6="","",SQRT(SUMXMY2(X6:AC6,$X$304:$AC$304)))</f>
        <v/>
      </c>
      <c r="AG6" s="11">
        <f>IF(Datos!A6="","",IF(AE6+AF6&lt;0.000000001,0.5,AF6/(AE6+AF6)))</f>
        <v/>
      </c>
      <c r="AH6">
        <f>IF(Datos!A6="","",AG6*MAX(C6*D6,1))</f>
        <v/>
      </c>
      <c r="AI6">
        <f>IF(Datos!A6="","",SUMIF($AH$2:$AH$301,"&gt;="&amp;AH6,$AH$2:$AH$301)/SUM($AH$2:$AH$301))</f>
        <v/>
      </c>
      <c r="AJ6" s="12">
        <f>IF(Datos!A6="","",IF(AI6&lt;=Parametros!$B$13,"A",IF(AI6&lt;=Parametros!$B$14,"B","C")))</f>
        <v/>
      </c>
      <c r="AK6" s="13">
        <f>IF(Datos!A6="","",VLOOKUP(AJ6,Parametros!$A$8:$C$10,2,FALSE))</f>
        <v/>
      </c>
      <c r="AL6">
        <f>IF(Datos!A6="","",VLOOKUP(AJ6,Parametros!$A$8:$C$10,3,FALSE))</f>
        <v/>
      </c>
      <c r="AM6">
        <f>IF(Datos!A6="","",NORMSINV(AK6))</f>
        <v/>
      </c>
      <c r="AN6">
        <f>IF(Datos!A6="","",D6/Parametros!$B$4)</f>
        <v/>
      </c>
      <c r="AO6">
        <f>IF(Datos!A6="","",MAX(0,ROUNDUP(AM6*(AN6*Parametros!$B$3)*SQRT((AL6+E6)),0)))</f>
        <v/>
      </c>
      <c r="AP6">
        <f>IF(Datos!A6="","",MAX(1,ROUNDUP(AN6*(AL6+E6)+AM6*(AN6*Parametros!$B$3)*SQRT((AL6+E6)),0)))</f>
        <v/>
      </c>
      <c r="AQ6">
        <f>IF(Datos!A6="","",IF(Datos!J6="","",Datos!J6))</f>
        <v/>
      </c>
      <c r="AR6">
        <f>IF(OR(Datos!A6="",AQ6=""),"",MAX(0,AQ6-AP6))</f>
        <v/>
      </c>
      <c r="AS6" s="10">
        <f>IF(OR(Datos!A6="",AQ6=""),"",AR6*C6)</f>
        <v/>
      </c>
      <c r="AT6" s="12">
        <f>IF(OR(Datos!A6="",AQ6=""),"",IF(AQ6&lt;AO6,"SI",""))</f>
        <v/>
      </c>
      <c r="AU6">
        <f>IF(Datos!A6="","",IF(AT6="SI","Reponer ahora",IF(AND(AQ6&lt;&gt;"",AR6&gt;0),"Bajar "&amp;TEXT(AR6,"#,##0")&amp;" un.","En rango")))</f>
        <v/>
      </c>
      <c r="BA6" t="inlineStr">
        <is>
          <t>Horas parada</t>
        </is>
      </c>
      <c r="BB6" t="inlineStr">
        <is>
          <t>beneficio</t>
        </is>
      </c>
      <c r="BC6">
        <f>IF($BE$10&lt;2,1,-1/LN($BE$10)*SUM(U$2:U$301))</f>
        <v/>
      </c>
      <c r="BD6">
        <f>MAX(0,1-BC6)</f>
        <v/>
      </c>
      <c r="BE6" s="14">
        <f>IF(SUM($BD$2:$BD$7)&lt;0.000000001,1/6,BD6/SUM($BD$2:$BD$7))</f>
        <v/>
      </c>
    </row>
    <row r="7">
      <c r="A7">
        <f>IF(Datos!A7="","",Datos!A7)</f>
        <v/>
      </c>
      <c r="B7">
        <f>IF(Datos!A7="","",Datos!B7)</f>
        <v/>
      </c>
      <c r="C7">
        <f>IF(Datos!A7="","",IFERROR(MAX(0,N(Datos!D7)),0))</f>
        <v/>
      </c>
      <c r="D7">
        <f>IF(Datos!A7="","",IFERROR(MAX(0,N(Datos!E7)),0))</f>
        <v/>
      </c>
      <c r="E7">
        <f>IF(Datos!A7="","",IFERROR(MAX(0,N(Datos!F7)),0))</f>
        <v/>
      </c>
      <c r="F7">
        <f>IF(Datos!A7="","",IFERROR(MAX(0,N(Datos!G7)),0))</f>
        <v/>
      </c>
      <c r="G7">
        <f>IF(Datos!A7="","",IFERROR(MAX(0,N(Datos!H7)),0))</f>
        <v/>
      </c>
      <c r="H7">
        <f>IF(Datos!A7="","",IFERROR(MAX(0,N(Datos!I7)),0))</f>
        <v/>
      </c>
      <c r="J7">
        <f>IF(Datos!A7="","",IF(MAX(C$2:C$301)-MIN(C$2:C$301)&lt;0.000000001,0.5,(C7-MIN(C$2:C$301))/(MAX(C$2:C$301)-MIN(C$2:C$301)))+0.000000001)</f>
        <v/>
      </c>
      <c r="K7">
        <f>IF(Datos!A7="","",IF(MAX(D$2:D$301)-MIN(D$2:D$301)&lt;0.000000001,0.5,(D7-MIN(D$2:D$301))/(MAX(D$2:D$301)-MIN(D$2:D$301)))+0.000000001)</f>
        <v/>
      </c>
      <c r="L7">
        <f>IF(Datos!A7="","",IF(MAX(E$2:E$301)-MIN(E$2:E$301)&lt;0.000000001,0.5,(E7-MIN(E$2:E$301))/(MAX(E$2:E$301)-MIN(E$2:E$301)))+0.000000001)</f>
        <v/>
      </c>
      <c r="M7">
        <f>IF(Datos!A7="","",IF(MAX(F$2:F$301)-MIN(F$2:F$301)&lt;0.000000001,0.5,(F7-MIN(F$2:F$301))/(MAX(F$2:F$301)-MIN(F$2:F$301)))+0.000000001)</f>
        <v/>
      </c>
      <c r="N7">
        <f>IF(Datos!A7="","",IF(MAX(G$2:G$301)-MIN(G$2:G$301)&lt;0.000000001,0.5,(G7-MIN(G$2:G$301))/(MAX(G$2:G$301)-MIN(G$2:G$301)))+0.000000001)</f>
        <v/>
      </c>
      <c r="O7">
        <f>IF(Datos!A7="","",IF(MAX(H$2:H$301)-MIN(H$2:H$301)&lt;0.000000001,0.5,(H7-MIN(H$2:H$301))/(MAX(H$2:H$301)-MIN(H$2:H$301)))+0.000000001)</f>
        <v/>
      </c>
      <c r="Q7">
        <f>IF(Datos!A7="","",(J7/SUM(J$2:J$301))*LN(J7/SUM(J$2:J$301)))</f>
        <v/>
      </c>
      <c r="R7">
        <f>IF(Datos!A7="","",(K7/SUM(K$2:K$301))*LN(K7/SUM(K$2:K$301)))</f>
        <v/>
      </c>
      <c r="S7">
        <f>IF(Datos!A7="","",(L7/SUM(L$2:L$301))*LN(L7/SUM(L$2:L$301)))</f>
        <v/>
      </c>
      <c r="T7">
        <f>IF(Datos!A7="","",(M7/SUM(M$2:M$301))*LN(M7/SUM(M$2:M$301)))</f>
        <v/>
      </c>
      <c r="U7">
        <f>IF(Datos!A7="","",(N7/SUM(N$2:N$301))*LN(N7/SUM(N$2:N$301)))</f>
        <v/>
      </c>
      <c r="V7">
        <f>IF(Datos!A7="","",(O7/SUM(O$2:O$301))*LN(O7/SUM(O$2:O$301)))</f>
        <v/>
      </c>
      <c r="X7">
        <f>IF(Datos!A7="","",IF(SUMSQ(C$2:C$301)=0,0,C7/SQRT(SUMSQ(C$2:C$301)))*$BE$2)</f>
        <v/>
      </c>
      <c r="Y7">
        <f>IF(Datos!A7="","",IF(SUMSQ(D$2:D$301)=0,0,D7/SQRT(SUMSQ(D$2:D$301)))*$BE$3)</f>
        <v/>
      </c>
      <c r="Z7">
        <f>IF(Datos!A7="","",IF(SUMSQ(E$2:E$301)=0,0,E7/SQRT(SUMSQ(E$2:E$301)))*$BE$4)</f>
        <v/>
      </c>
      <c r="AA7">
        <f>IF(Datos!A7="","",IF(SUMSQ(F$2:F$301)=0,0,F7/SQRT(SUMSQ(F$2:F$301)))*$BE$5)</f>
        <v/>
      </c>
      <c r="AB7">
        <f>IF(Datos!A7="","",IF(SUMSQ(G$2:G$301)=0,0,G7/SQRT(SUMSQ(G$2:G$301)))*$BE$6)</f>
        <v/>
      </c>
      <c r="AC7">
        <f>IF(Datos!A7="","",IF(SUMSQ(H$2:H$301)=0,0,H7/SQRT(SUMSQ(H$2:H$301)))*$BE$7)</f>
        <v/>
      </c>
      <c r="AE7">
        <f>IF(Datos!A7="","",SQRT(SUMXMY2(X7:AC7,$X$303:$AC$303)))</f>
        <v/>
      </c>
      <c r="AF7">
        <f>IF(Datos!A7="","",SQRT(SUMXMY2(X7:AC7,$X$304:$AC$304)))</f>
        <v/>
      </c>
      <c r="AG7" s="11">
        <f>IF(Datos!A7="","",IF(AE7+AF7&lt;0.000000001,0.5,AF7/(AE7+AF7)))</f>
        <v/>
      </c>
      <c r="AH7">
        <f>IF(Datos!A7="","",AG7*MAX(C7*D7,1))</f>
        <v/>
      </c>
      <c r="AI7">
        <f>IF(Datos!A7="","",SUMIF($AH$2:$AH$301,"&gt;="&amp;AH7,$AH$2:$AH$301)/SUM($AH$2:$AH$301))</f>
        <v/>
      </c>
      <c r="AJ7" s="12">
        <f>IF(Datos!A7="","",IF(AI7&lt;=Parametros!$B$13,"A",IF(AI7&lt;=Parametros!$B$14,"B","C")))</f>
        <v/>
      </c>
      <c r="AK7" s="13">
        <f>IF(Datos!A7="","",VLOOKUP(AJ7,Parametros!$A$8:$C$10,2,FALSE))</f>
        <v/>
      </c>
      <c r="AL7">
        <f>IF(Datos!A7="","",VLOOKUP(AJ7,Parametros!$A$8:$C$10,3,FALSE))</f>
        <v/>
      </c>
      <c r="AM7">
        <f>IF(Datos!A7="","",NORMSINV(AK7))</f>
        <v/>
      </c>
      <c r="AN7">
        <f>IF(Datos!A7="","",D7/Parametros!$B$4)</f>
        <v/>
      </c>
      <c r="AO7">
        <f>IF(Datos!A7="","",MAX(0,ROUNDUP(AM7*(AN7*Parametros!$B$3)*SQRT((AL7+E7)),0)))</f>
        <v/>
      </c>
      <c r="AP7">
        <f>IF(Datos!A7="","",MAX(1,ROUNDUP(AN7*(AL7+E7)+AM7*(AN7*Parametros!$B$3)*SQRT((AL7+E7)),0)))</f>
        <v/>
      </c>
      <c r="AQ7">
        <f>IF(Datos!A7="","",IF(Datos!J7="","",Datos!J7))</f>
        <v/>
      </c>
      <c r="AR7">
        <f>IF(OR(Datos!A7="",AQ7=""),"",MAX(0,AQ7-AP7))</f>
        <v/>
      </c>
      <c r="AS7" s="10">
        <f>IF(OR(Datos!A7="",AQ7=""),"",AR7*C7)</f>
        <v/>
      </c>
      <c r="AT7" s="12">
        <f>IF(OR(Datos!A7="",AQ7=""),"",IF(AQ7&lt;AO7,"SI",""))</f>
        <v/>
      </c>
      <c r="AU7">
        <f>IF(Datos!A7="","",IF(AT7="SI","Reponer ahora",IF(AND(AQ7&lt;&gt;"",AR7&gt;0),"Bajar "&amp;TEXT(AR7,"#,##0")&amp;" un.","En rango")))</f>
        <v/>
      </c>
      <c r="BA7" t="inlineStr">
        <is>
          <t>N proveedores</t>
        </is>
      </c>
      <c r="BB7" t="inlineStr">
        <is>
          <t>costo</t>
        </is>
      </c>
      <c r="BC7">
        <f>IF($BE$10&lt;2,1,-1/LN($BE$10)*SUM(V$2:V$301))</f>
        <v/>
      </c>
      <c r="BD7">
        <f>MAX(0,1-BC7)</f>
        <v/>
      </c>
      <c r="BE7" s="14">
        <f>IF(SUM($BD$2:$BD$7)&lt;0.000000001,1/6,BD7/SUM($BD$2:$BD$7))</f>
        <v/>
      </c>
    </row>
    <row r="8">
      <c r="A8">
        <f>IF(Datos!A8="","",Datos!A8)</f>
        <v/>
      </c>
      <c r="B8">
        <f>IF(Datos!A8="","",Datos!B8)</f>
        <v/>
      </c>
      <c r="C8">
        <f>IF(Datos!A8="","",IFERROR(MAX(0,N(Datos!D8)),0))</f>
        <v/>
      </c>
      <c r="D8">
        <f>IF(Datos!A8="","",IFERROR(MAX(0,N(Datos!E8)),0))</f>
        <v/>
      </c>
      <c r="E8">
        <f>IF(Datos!A8="","",IFERROR(MAX(0,N(Datos!F8)),0))</f>
        <v/>
      </c>
      <c r="F8">
        <f>IF(Datos!A8="","",IFERROR(MAX(0,N(Datos!G8)),0))</f>
        <v/>
      </c>
      <c r="G8">
        <f>IF(Datos!A8="","",IFERROR(MAX(0,N(Datos!H8)),0))</f>
        <v/>
      </c>
      <c r="H8">
        <f>IF(Datos!A8="","",IFERROR(MAX(0,N(Datos!I8)),0))</f>
        <v/>
      </c>
      <c r="J8">
        <f>IF(Datos!A8="","",IF(MAX(C$2:C$301)-MIN(C$2:C$301)&lt;0.000000001,0.5,(C8-MIN(C$2:C$301))/(MAX(C$2:C$301)-MIN(C$2:C$301)))+0.000000001)</f>
        <v/>
      </c>
      <c r="K8">
        <f>IF(Datos!A8="","",IF(MAX(D$2:D$301)-MIN(D$2:D$301)&lt;0.000000001,0.5,(D8-MIN(D$2:D$301))/(MAX(D$2:D$301)-MIN(D$2:D$301)))+0.000000001)</f>
        <v/>
      </c>
      <c r="L8">
        <f>IF(Datos!A8="","",IF(MAX(E$2:E$301)-MIN(E$2:E$301)&lt;0.000000001,0.5,(E8-MIN(E$2:E$301))/(MAX(E$2:E$301)-MIN(E$2:E$301)))+0.000000001)</f>
        <v/>
      </c>
      <c r="M8">
        <f>IF(Datos!A8="","",IF(MAX(F$2:F$301)-MIN(F$2:F$301)&lt;0.000000001,0.5,(F8-MIN(F$2:F$301))/(MAX(F$2:F$301)-MIN(F$2:F$301)))+0.000000001)</f>
        <v/>
      </c>
      <c r="N8">
        <f>IF(Datos!A8="","",IF(MAX(G$2:G$301)-MIN(G$2:G$301)&lt;0.000000001,0.5,(G8-MIN(G$2:G$301))/(MAX(G$2:G$301)-MIN(G$2:G$301)))+0.000000001)</f>
        <v/>
      </c>
      <c r="O8">
        <f>IF(Datos!A8="","",IF(MAX(H$2:H$301)-MIN(H$2:H$301)&lt;0.000000001,0.5,(H8-MIN(H$2:H$301))/(MAX(H$2:H$301)-MIN(H$2:H$301)))+0.000000001)</f>
        <v/>
      </c>
      <c r="Q8">
        <f>IF(Datos!A8="","",(J8/SUM(J$2:J$301))*LN(J8/SUM(J$2:J$301)))</f>
        <v/>
      </c>
      <c r="R8">
        <f>IF(Datos!A8="","",(K8/SUM(K$2:K$301))*LN(K8/SUM(K$2:K$301)))</f>
        <v/>
      </c>
      <c r="S8">
        <f>IF(Datos!A8="","",(L8/SUM(L$2:L$301))*LN(L8/SUM(L$2:L$301)))</f>
        <v/>
      </c>
      <c r="T8">
        <f>IF(Datos!A8="","",(M8/SUM(M$2:M$301))*LN(M8/SUM(M$2:M$301)))</f>
        <v/>
      </c>
      <c r="U8">
        <f>IF(Datos!A8="","",(N8/SUM(N$2:N$301))*LN(N8/SUM(N$2:N$301)))</f>
        <v/>
      </c>
      <c r="V8">
        <f>IF(Datos!A8="","",(O8/SUM(O$2:O$301))*LN(O8/SUM(O$2:O$301)))</f>
        <v/>
      </c>
      <c r="X8">
        <f>IF(Datos!A8="","",IF(SUMSQ(C$2:C$301)=0,0,C8/SQRT(SUMSQ(C$2:C$301)))*$BE$2)</f>
        <v/>
      </c>
      <c r="Y8">
        <f>IF(Datos!A8="","",IF(SUMSQ(D$2:D$301)=0,0,D8/SQRT(SUMSQ(D$2:D$301)))*$BE$3)</f>
        <v/>
      </c>
      <c r="Z8">
        <f>IF(Datos!A8="","",IF(SUMSQ(E$2:E$301)=0,0,E8/SQRT(SUMSQ(E$2:E$301)))*$BE$4)</f>
        <v/>
      </c>
      <c r="AA8">
        <f>IF(Datos!A8="","",IF(SUMSQ(F$2:F$301)=0,0,F8/SQRT(SUMSQ(F$2:F$301)))*$BE$5)</f>
        <v/>
      </c>
      <c r="AB8">
        <f>IF(Datos!A8="","",IF(SUMSQ(G$2:G$301)=0,0,G8/SQRT(SUMSQ(G$2:G$301)))*$BE$6)</f>
        <v/>
      </c>
      <c r="AC8">
        <f>IF(Datos!A8="","",IF(SUMSQ(H$2:H$301)=0,0,H8/SQRT(SUMSQ(H$2:H$301)))*$BE$7)</f>
        <v/>
      </c>
      <c r="AE8">
        <f>IF(Datos!A8="","",SQRT(SUMXMY2(X8:AC8,$X$303:$AC$303)))</f>
        <v/>
      </c>
      <c r="AF8">
        <f>IF(Datos!A8="","",SQRT(SUMXMY2(X8:AC8,$X$304:$AC$304)))</f>
        <v/>
      </c>
      <c r="AG8" s="11">
        <f>IF(Datos!A8="","",IF(AE8+AF8&lt;0.000000001,0.5,AF8/(AE8+AF8)))</f>
        <v/>
      </c>
      <c r="AH8">
        <f>IF(Datos!A8="","",AG8*MAX(C8*D8,1))</f>
        <v/>
      </c>
      <c r="AI8">
        <f>IF(Datos!A8="","",SUMIF($AH$2:$AH$301,"&gt;="&amp;AH8,$AH$2:$AH$301)/SUM($AH$2:$AH$301))</f>
        <v/>
      </c>
      <c r="AJ8" s="12">
        <f>IF(Datos!A8="","",IF(AI8&lt;=Parametros!$B$13,"A",IF(AI8&lt;=Parametros!$B$14,"B","C")))</f>
        <v/>
      </c>
      <c r="AK8" s="13">
        <f>IF(Datos!A8="","",VLOOKUP(AJ8,Parametros!$A$8:$C$10,2,FALSE))</f>
        <v/>
      </c>
      <c r="AL8">
        <f>IF(Datos!A8="","",VLOOKUP(AJ8,Parametros!$A$8:$C$10,3,FALSE))</f>
        <v/>
      </c>
      <c r="AM8">
        <f>IF(Datos!A8="","",NORMSINV(AK8))</f>
        <v/>
      </c>
      <c r="AN8">
        <f>IF(Datos!A8="","",D8/Parametros!$B$4)</f>
        <v/>
      </c>
      <c r="AO8">
        <f>IF(Datos!A8="","",MAX(0,ROUNDUP(AM8*(AN8*Parametros!$B$3)*SQRT((AL8+E8)),0)))</f>
        <v/>
      </c>
      <c r="AP8">
        <f>IF(Datos!A8="","",MAX(1,ROUNDUP(AN8*(AL8+E8)+AM8*(AN8*Parametros!$B$3)*SQRT((AL8+E8)),0)))</f>
        <v/>
      </c>
      <c r="AQ8">
        <f>IF(Datos!A8="","",IF(Datos!J8="","",Datos!J8))</f>
        <v/>
      </c>
      <c r="AR8">
        <f>IF(OR(Datos!A8="",AQ8=""),"",MAX(0,AQ8-AP8))</f>
        <v/>
      </c>
      <c r="AS8" s="10">
        <f>IF(OR(Datos!A8="",AQ8=""),"",AR8*C8)</f>
        <v/>
      </c>
      <c r="AT8" s="12">
        <f>IF(OR(Datos!A8="",AQ8=""),"",IF(AQ8&lt;AO8,"SI",""))</f>
        <v/>
      </c>
      <c r="AU8">
        <f>IF(Datos!A8="","",IF(AT8="SI","Reponer ahora",IF(AND(AQ8&lt;&gt;"",AR8&gt;0),"Bajar "&amp;TEXT(AR8,"#,##0")&amp;" un.","En rango")))</f>
        <v/>
      </c>
    </row>
    <row r="9">
      <c r="A9">
        <f>IF(Datos!A9="","",Datos!A9)</f>
        <v/>
      </c>
      <c r="B9">
        <f>IF(Datos!A9="","",Datos!B9)</f>
        <v/>
      </c>
      <c r="C9">
        <f>IF(Datos!A9="","",IFERROR(MAX(0,N(Datos!D9)),0))</f>
        <v/>
      </c>
      <c r="D9">
        <f>IF(Datos!A9="","",IFERROR(MAX(0,N(Datos!E9)),0))</f>
        <v/>
      </c>
      <c r="E9">
        <f>IF(Datos!A9="","",IFERROR(MAX(0,N(Datos!F9)),0))</f>
        <v/>
      </c>
      <c r="F9">
        <f>IF(Datos!A9="","",IFERROR(MAX(0,N(Datos!G9)),0))</f>
        <v/>
      </c>
      <c r="G9">
        <f>IF(Datos!A9="","",IFERROR(MAX(0,N(Datos!H9)),0))</f>
        <v/>
      </c>
      <c r="H9">
        <f>IF(Datos!A9="","",IFERROR(MAX(0,N(Datos!I9)),0))</f>
        <v/>
      </c>
      <c r="J9">
        <f>IF(Datos!A9="","",IF(MAX(C$2:C$301)-MIN(C$2:C$301)&lt;0.000000001,0.5,(C9-MIN(C$2:C$301))/(MAX(C$2:C$301)-MIN(C$2:C$301)))+0.000000001)</f>
        <v/>
      </c>
      <c r="K9">
        <f>IF(Datos!A9="","",IF(MAX(D$2:D$301)-MIN(D$2:D$301)&lt;0.000000001,0.5,(D9-MIN(D$2:D$301))/(MAX(D$2:D$301)-MIN(D$2:D$301)))+0.000000001)</f>
        <v/>
      </c>
      <c r="L9">
        <f>IF(Datos!A9="","",IF(MAX(E$2:E$301)-MIN(E$2:E$301)&lt;0.000000001,0.5,(E9-MIN(E$2:E$301))/(MAX(E$2:E$301)-MIN(E$2:E$301)))+0.000000001)</f>
        <v/>
      </c>
      <c r="M9">
        <f>IF(Datos!A9="","",IF(MAX(F$2:F$301)-MIN(F$2:F$301)&lt;0.000000001,0.5,(F9-MIN(F$2:F$301))/(MAX(F$2:F$301)-MIN(F$2:F$301)))+0.000000001)</f>
        <v/>
      </c>
      <c r="N9">
        <f>IF(Datos!A9="","",IF(MAX(G$2:G$301)-MIN(G$2:G$301)&lt;0.000000001,0.5,(G9-MIN(G$2:G$301))/(MAX(G$2:G$301)-MIN(G$2:G$301)))+0.000000001)</f>
        <v/>
      </c>
      <c r="O9">
        <f>IF(Datos!A9="","",IF(MAX(H$2:H$301)-MIN(H$2:H$301)&lt;0.000000001,0.5,(H9-MIN(H$2:H$301))/(MAX(H$2:H$301)-MIN(H$2:H$301)))+0.000000001)</f>
        <v/>
      </c>
      <c r="Q9">
        <f>IF(Datos!A9="","",(J9/SUM(J$2:J$301))*LN(J9/SUM(J$2:J$301)))</f>
        <v/>
      </c>
      <c r="R9">
        <f>IF(Datos!A9="","",(K9/SUM(K$2:K$301))*LN(K9/SUM(K$2:K$301)))</f>
        <v/>
      </c>
      <c r="S9">
        <f>IF(Datos!A9="","",(L9/SUM(L$2:L$301))*LN(L9/SUM(L$2:L$301)))</f>
        <v/>
      </c>
      <c r="T9">
        <f>IF(Datos!A9="","",(M9/SUM(M$2:M$301))*LN(M9/SUM(M$2:M$301)))</f>
        <v/>
      </c>
      <c r="U9">
        <f>IF(Datos!A9="","",(N9/SUM(N$2:N$301))*LN(N9/SUM(N$2:N$301)))</f>
        <v/>
      </c>
      <c r="V9">
        <f>IF(Datos!A9="","",(O9/SUM(O$2:O$301))*LN(O9/SUM(O$2:O$301)))</f>
        <v/>
      </c>
      <c r="X9">
        <f>IF(Datos!A9="","",IF(SUMSQ(C$2:C$301)=0,0,C9/SQRT(SUMSQ(C$2:C$301)))*$BE$2)</f>
        <v/>
      </c>
      <c r="Y9">
        <f>IF(Datos!A9="","",IF(SUMSQ(D$2:D$301)=0,0,D9/SQRT(SUMSQ(D$2:D$301)))*$BE$3)</f>
        <v/>
      </c>
      <c r="Z9">
        <f>IF(Datos!A9="","",IF(SUMSQ(E$2:E$301)=0,0,E9/SQRT(SUMSQ(E$2:E$301)))*$BE$4)</f>
        <v/>
      </c>
      <c r="AA9">
        <f>IF(Datos!A9="","",IF(SUMSQ(F$2:F$301)=0,0,F9/SQRT(SUMSQ(F$2:F$301)))*$BE$5)</f>
        <v/>
      </c>
      <c r="AB9">
        <f>IF(Datos!A9="","",IF(SUMSQ(G$2:G$301)=0,0,G9/SQRT(SUMSQ(G$2:G$301)))*$BE$6)</f>
        <v/>
      </c>
      <c r="AC9">
        <f>IF(Datos!A9="","",IF(SUMSQ(H$2:H$301)=0,0,H9/SQRT(SUMSQ(H$2:H$301)))*$BE$7)</f>
        <v/>
      </c>
      <c r="AE9">
        <f>IF(Datos!A9="","",SQRT(SUMXMY2(X9:AC9,$X$303:$AC$303)))</f>
        <v/>
      </c>
      <c r="AF9">
        <f>IF(Datos!A9="","",SQRT(SUMXMY2(X9:AC9,$X$304:$AC$304)))</f>
        <v/>
      </c>
      <c r="AG9" s="11">
        <f>IF(Datos!A9="","",IF(AE9+AF9&lt;0.000000001,0.5,AF9/(AE9+AF9)))</f>
        <v/>
      </c>
      <c r="AH9">
        <f>IF(Datos!A9="","",AG9*MAX(C9*D9,1))</f>
        <v/>
      </c>
      <c r="AI9">
        <f>IF(Datos!A9="","",SUMIF($AH$2:$AH$301,"&gt;="&amp;AH9,$AH$2:$AH$301)/SUM($AH$2:$AH$301))</f>
        <v/>
      </c>
      <c r="AJ9" s="12">
        <f>IF(Datos!A9="","",IF(AI9&lt;=Parametros!$B$13,"A",IF(AI9&lt;=Parametros!$B$14,"B","C")))</f>
        <v/>
      </c>
      <c r="AK9" s="13">
        <f>IF(Datos!A9="","",VLOOKUP(AJ9,Parametros!$A$8:$C$10,2,FALSE))</f>
        <v/>
      </c>
      <c r="AL9">
        <f>IF(Datos!A9="","",VLOOKUP(AJ9,Parametros!$A$8:$C$10,3,FALSE))</f>
        <v/>
      </c>
      <c r="AM9">
        <f>IF(Datos!A9="","",NORMSINV(AK9))</f>
        <v/>
      </c>
      <c r="AN9">
        <f>IF(Datos!A9="","",D9/Parametros!$B$4)</f>
        <v/>
      </c>
      <c r="AO9">
        <f>IF(Datos!A9="","",MAX(0,ROUNDUP(AM9*(AN9*Parametros!$B$3)*SQRT((AL9+E9)),0)))</f>
        <v/>
      </c>
      <c r="AP9">
        <f>IF(Datos!A9="","",MAX(1,ROUNDUP(AN9*(AL9+E9)+AM9*(AN9*Parametros!$B$3)*SQRT((AL9+E9)),0)))</f>
        <v/>
      </c>
      <c r="AQ9">
        <f>IF(Datos!A9="","",IF(Datos!J9="","",Datos!J9))</f>
        <v/>
      </c>
      <c r="AR9">
        <f>IF(OR(Datos!A9="",AQ9=""),"",MAX(0,AQ9-AP9))</f>
        <v/>
      </c>
      <c r="AS9" s="10">
        <f>IF(OR(Datos!A9="",AQ9=""),"",AR9*C9)</f>
        <v/>
      </c>
      <c r="AT9" s="12">
        <f>IF(OR(Datos!A9="",AQ9=""),"",IF(AQ9&lt;AO9,"SI",""))</f>
        <v/>
      </c>
      <c r="AU9">
        <f>IF(Datos!A9="","",IF(AT9="SI","Reponer ahora",IF(AND(AQ9&lt;&gt;"",AR9&gt;0),"Bajar "&amp;TEXT(AR9,"#,##0")&amp;" un.","En rango")))</f>
        <v/>
      </c>
    </row>
    <row r="10">
      <c r="A10">
        <f>IF(Datos!A10="","",Datos!A10)</f>
        <v/>
      </c>
      <c r="B10">
        <f>IF(Datos!A10="","",Datos!B10)</f>
        <v/>
      </c>
      <c r="C10">
        <f>IF(Datos!A10="","",IFERROR(MAX(0,N(Datos!D10)),0))</f>
        <v/>
      </c>
      <c r="D10">
        <f>IF(Datos!A10="","",IFERROR(MAX(0,N(Datos!E10)),0))</f>
        <v/>
      </c>
      <c r="E10">
        <f>IF(Datos!A10="","",IFERROR(MAX(0,N(Datos!F10)),0))</f>
        <v/>
      </c>
      <c r="F10">
        <f>IF(Datos!A10="","",IFERROR(MAX(0,N(Datos!G10)),0))</f>
        <v/>
      </c>
      <c r="G10">
        <f>IF(Datos!A10="","",IFERROR(MAX(0,N(Datos!H10)),0))</f>
        <v/>
      </c>
      <c r="H10">
        <f>IF(Datos!A10="","",IFERROR(MAX(0,N(Datos!I10)),0))</f>
        <v/>
      </c>
      <c r="J10">
        <f>IF(Datos!A10="","",IF(MAX(C$2:C$301)-MIN(C$2:C$301)&lt;0.000000001,0.5,(C10-MIN(C$2:C$301))/(MAX(C$2:C$301)-MIN(C$2:C$301)))+0.000000001)</f>
        <v/>
      </c>
      <c r="K10">
        <f>IF(Datos!A10="","",IF(MAX(D$2:D$301)-MIN(D$2:D$301)&lt;0.000000001,0.5,(D10-MIN(D$2:D$301))/(MAX(D$2:D$301)-MIN(D$2:D$301)))+0.000000001)</f>
        <v/>
      </c>
      <c r="L10">
        <f>IF(Datos!A10="","",IF(MAX(E$2:E$301)-MIN(E$2:E$301)&lt;0.000000001,0.5,(E10-MIN(E$2:E$301))/(MAX(E$2:E$301)-MIN(E$2:E$301)))+0.000000001)</f>
        <v/>
      </c>
      <c r="M10">
        <f>IF(Datos!A10="","",IF(MAX(F$2:F$301)-MIN(F$2:F$301)&lt;0.000000001,0.5,(F10-MIN(F$2:F$301))/(MAX(F$2:F$301)-MIN(F$2:F$301)))+0.000000001)</f>
        <v/>
      </c>
      <c r="N10">
        <f>IF(Datos!A10="","",IF(MAX(G$2:G$301)-MIN(G$2:G$301)&lt;0.000000001,0.5,(G10-MIN(G$2:G$301))/(MAX(G$2:G$301)-MIN(G$2:G$301)))+0.000000001)</f>
        <v/>
      </c>
      <c r="O10">
        <f>IF(Datos!A10="","",IF(MAX(H$2:H$301)-MIN(H$2:H$301)&lt;0.000000001,0.5,(H10-MIN(H$2:H$301))/(MAX(H$2:H$301)-MIN(H$2:H$301)))+0.000000001)</f>
        <v/>
      </c>
      <c r="Q10">
        <f>IF(Datos!A10="","",(J10/SUM(J$2:J$301))*LN(J10/SUM(J$2:J$301)))</f>
        <v/>
      </c>
      <c r="R10">
        <f>IF(Datos!A10="","",(K10/SUM(K$2:K$301))*LN(K10/SUM(K$2:K$301)))</f>
        <v/>
      </c>
      <c r="S10">
        <f>IF(Datos!A10="","",(L10/SUM(L$2:L$301))*LN(L10/SUM(L$2:L$301)))</f>
        <v/>
      </c>
      <c r="T10">
        <f>IF(Datos!A10="","",(M10/SUM(M$2:M$301))*LN(M10/SUM(M$2:M$301)))</f>
        <v/>
      </c>
      <c r="U10">
        <f>IF(Datos!A10="","",(N10/SUM(N$2:N$301))*LN(N10/SUM(N$2:N$301)))</f>
        <v/>
      </c>
      <c r="V10">
        <f>IF(Datos!A10="","",(O10/SUM(O$2:O$301))*LN(O10/SUM(O$2:O$301)))</f>
        <v/>
      </c>
      <c r="X10">
        <f>IF(Datos!A10="","",IF(SUMSQ(C$2:C$301)=0,0,C10/SQRT(SUMSQ(C$2:C$301)))*$BE$2)</f>
        <v/>
      </c>
      <c r="Y10">
        <f>IF(Datos!A10="","",IF(SUMSQ(D$2:D$301)=0,0,D10/SQRT(SUMSQ(D$2:D$301)))*$BE$3)</f>
        <v/>
      </c>
      <c r="Z10">
        <f>IF(Datos!A10="","",IF(SUMSQ(E$2:E$301)=0,0,E10/SQRT(SUMSQ(E$2:E$301)))*$BE$4)</f>
        <v/>
      </c>
      <c r="AA10">
        <f>IF(Datos!A10="","",IF(SUMSQ(F$2:F$301)=0,0,F10/SQRT(SUMSQ(F$2:F$301)))*$BE$5)</f>
        <v/>
      </c>
      <c r="AB10">
        <f>IF(Datos!A10="","",IF(SUMSQ(G$2:G$301)=0,0,G10/SQRT(SUMSQ(G$2:G$301)))*$BE$6)</f>
        <v/>
      </c>
      <c r="AC10">
        <f>IF(Datos!A10="","",IF(SUMSQ(H$2:H$301)=0,0,H10/SQRT(SUMSQ(H$2:H$301)))*$BE$7)</f>
        <v/>
      </c>
      <c r="AE10">
        <f>IF(Datos!A10="","",SQRT(SUMXMY2(X10:AC10,$X$303:$AC$303)))</f>
        <v/>
      </c>
      <c r="AF10">
        <f>IF(Datos!A10="","",SQRT(SUMXMY2(X10:AC10,$X$304:$AC$304)))</f>
        <v/>
      </c>
      <c r="AG10" s="11">
        <f>IF(Datos!A10="","",IF(AE10+AF10&lt;0.000000001,0.5,AF10/(AE10+AF10)))</f>
        <v/>
      </c>
      <c r="AH10">
        <f>IF(Datos!A10="","",AG10*MAX(C10*D10,1))</f>
        <v/>
      </c>
      <c r="AI10">
        <f>IF(Datos!A10="","",SUMIF($AH$2:$AH$301,"&gt;="&amp;AH10,$AH$2:$AH$301)/SUM($AH$2:$AH$301))</f>
        <v/>
      </c>
      <c r="AJ10" s="12">
        <f>IF(Datos!A10="","",IF(AI10&lt;=Parametros!$B$13,"A",IF(AI10&lt;=Parametros!$B$14,"B","C")))</f>
        <v/>
      </c>
      <c r="AK10" s="13">
        <f>IF(Datos!A10="","",VLOOKUP(AJ10,Parametros!$A$8:$C$10,2,FALSE))</f>
        <v/>
      </c>
      <c r="AL10">
        <f>IF(Datos!A10="","",VLOOKUP(AJ10,Parametros!$A$8:$C$10,3,FALSE))</f>
        <v/>
      </c>
      <c r="AM10">
        <f>IF(Datos!A10="","",NORMSINV(AK10))</f>
        <v/>
      </c>
      <c r="AN10">
        <f>IF(Datos!A10="","",D10/Parametros!$B$4)</f>
        <v/>
      </c>
      <c r="AO10">
        <f>IF(Datos!A10="","",MAX(0,ROUNDUP(AM10*(AN10*Parametros!$B$3)*SQRT((AL10+E10)),0)))</f>
        <v/>
      </c>
      <c r="AP10">
        <f>IF(Datos!A10="","",MAX(1,ROUNDUP(AN10*(AL10+E10)+AM10*(AN10*Parametros!$B$3)*SQRT((AL10+E10)),0)))</f>
        <v/>
      </c>
      <c r="AQ10">
        <f>IF(Datos!A10="","",IF(Datos!J10="","",Datos!J10))</f>
        <v/>
      </c>
      <c r="AR10">
        <f>IF(OR(Datos!A10="",AQ10=""),"",MAX(0,AQ10-AP10))</f>
        <v/>
      </c>
      <c r="AS10" s="10">
        <f>IF(OR(Datos!A10="",AQ10=""),"",AR10*C10)</f>
        <v/>
      </c>
      <c r="AT10" s="12">
        <f>IF(OR(Datos!A10="",AQ10=""),"",IF(AQ10&lt;AO10,"SI",""))</f>
        <v/>
      </c>
      <c r="AU10">
        <f>IF(Datos!A10="","",IF(AT10="SI","Reponer ahora",IF(AND(AQ10&lt;&gt;"",AR10&gt;0),"Bajar "&amp;TEXT(AR10,"#,##0")&amp;" un.","En rango")))</f>
        <v/>
      </c>
      <c r="BD10" s="15" t="inlineStr">
        <is>
          <t>Repuestos con datos</t>
        </is>
      </c>
      <c r="BE10">
        <f>COUNT(Datos!D2:D301)</f>
        <v/>
      </c>
    </row>
    <row r="11">
      <c r="A11">
        <f>IF(Datos!A11="","",Datos!A11)</f>
        <v/>
      </c>
      <c r="B11">
        <f>IF(Datos!A11="","",Datos!B11)</f>
        <v/>
      </c>
      <c r="C11">
        <f>IF(Datos!A11="","",IFERROR(MAX(0,N(Datos!D11)),0))</f>
        <v/>
      </c>
      <c r="D11">
        <f>IF(Datos!A11="","",IFERROR(MAX(0,N(Datos!E11)),0))</f>
        <v/>
      </c>
      <c r="E11">
        <f>IF(Datos!A11="","",IFERROR(MAX(0,N(Datos!F11)),0))</f>
        <v/>
      </c>
      <c r="F11">
        <f>IF(Datos!A11="","",IFERROR(MAX(0,N(Datos!G11)),0))</f>
        <v/>
      </c>
      <c r="G11">
        <f>IF(Datos!A11="","",IFERROR(MAX(0,N(Datos!H11)),0))</f>
        <v/>
      </c>
      <c r="H11">
        <f>IF(Datos!A11="","",IFERROR(MAX(0,N(Datos!I11)),0))</f>
        <v/>
      </c>
      <c r="J11">
        <f>IF(Datos!A11="","",IF(MAX(C$2:C$301)-MIN(C$2:C$301)&lt;0.000000001,0.5,(C11-MIN(C$2:C$301))/(MAX(C$2:C$301)-MIN(C$2:C$301)))+0.000000001)</f>
        <v/>
      </c>
      <c r="K11">
        <f>IF(Datos!A11="","",IF(MAX(D$2:D$301)-MIN(D$2:D$301)&lt;0.000000001,0.5,(D11-MIN(D$2:D$301))/(MAX(D$2:D$301)-MIN(D$2:D$301)))+0.000000001)</f>
        <v/>
      </c>
      <c r="L11">
        <f>IF(Datos!A11="","",IF(MAX(E$2:E$301)-MIN(E$2:E$301)&lt;0.000000001,0.5,(E11-MIN(E$2:E$301))/(MAX(E$2:E$301)-MIN(E$2:E$301)))+0.000000001)</f>
        <v/>
      </c>
      <c r="M11">
        <f>IF(Datos!A11="","",IF(MAX(F$2:F$301)-MIN(F$2:F$301)&lt;0.000000001,0.5,(F11-MIN(F$2:F$301))/(MAX(F$2:F$301)-MIN(F$2:F$301)))+0.000000001)</f>
        <v/>
      </c>
      <c r="N11">
        <f>IF(Datos!A11="","",IF(MAX(G$2:G$301)-MIN(G$2:G$301)&lt;0.000000001,0.5,(G11-MIN(G$2:G$301))/(MAX(G$2:G$301)-MIN(G$2:G$301)))+0.000000001)</f>
        <v/>
      </c>
      <c r="O11">
        <f>IF(Datos!A11="","",IF(MAX(H$2:H$301)-MIN(H$2:H$301)&lt;0.000000001,0.5,(H11-MIN(H$2:H$301))/(MAX(H$2:H$301)-MIN(H$2:H$301)))+0.000000001)</f>
        <v/>
      </c>
      <c r="Q11">
        <f>IF(Datos!A11="","",(J11/SUM(J$2:J$301))*LN(J11/SUM(J$2:J$301)))</f>
        <v/>
      </c>
      <c r="R11">
        <f>IF(Datos!A11="","",(K11/SUM(K$2:K$301))*LN(K11/SUM(K$2:K$301)))</f>
        <v/>
      </c>
      <c r="S11">
        <f>IF(Datos!A11="","",(L11/SUM(L$2:L$301))*LN(L11/SUM(L$2:L$301)))</f>
        <v/>
      </c>
      <c r="T11">
        <f>IF(Datos!A11="","",(M11/SUM(M$2:M$301))*LN(M11/SUM(M$2:M$301)))</f>
        <v/>
      </c>
      <c r="U11">
        <f>IF(Datos!A11="","",(N11/SUM(N$2:N$301))*LN(N11/SUM(N$2:N$301)))</f>
        <v/>
      </c>
      <c r="V11">
        <f>IF(Datos!A11="","",(O11/SUM(O$2:O$301))*LN(O11/SUM(O$2:O$301)))</f>
        <v/>
      </c>
      <c r="X11">
        <f>IF(Datos!A11="","",IF(SUMSQ(C$2:C$301)=0,0,C11/SQRT(SUMSQ(C$2:C$301)))*$BE$2)</f>
        <v/>
      </c>
      <c r="Y11">
        <f>IF(Datos!A11="","",IF(SUMSQ(D$2:D$301)=0,0,D11/SQRT(SUMSQ(D$2:D$301)))*$BE$3)</f>
        <v/>
      </c>
      <c r="Z11">
        <f>IF(Datos!A11="","",IF(SUMSQ(E$2:E$301)=0,0,E11/SQRT(SUMSQ(E$2:E$301)))*$BE$4)</f>
        <v/>
      </c>
      <c r="AA11">
        <f>IF(Datos!A11="","",IF(SUMSQ(F$2:F$301)=0,0,F11/SQRT(SUMSQ(F$2:F$301)))*$BE$5)</f>
        <v/>
      </c>
      <c r="AB11">
        <f>IF(Datos!A11="","",IF(SUMSQ(G$2:G$301)=0,0,G11/SQRT(SUMSQ(G$2:G$301)))*$BE$6)</f>
        <v/>
      </c>
      <c r="AC11">
        <f>IF(Datos!A11="","",IF(SUMSQ(H$2:H$301)=0,0,H11/SQRT(SUMSQ(H$2:H$301)))*$BE$7)</f>
        <v/>
      </c>
      <c r="AE11">
        <f>IF(Datos!A11="","",SQRT(SUMXMY2(X11:AC11,$X$303:$AC$303)))</f>
        <v/>
      </c>
      <c r="AF11">
        <f>IF(Datos!A11="","",SQRT(SUMXMY2(X11:AC11,$X$304:$AC$304)))</f>
        <v/>
      </c>
      <c r="AG11" s="11">
        <f>IF(Datos!A11="","",IF(AE11+AF11&lt;0.000000001,0.5,AF11/(AE11+AF11)))</f>
        <v/>
      </c>
      <c r="AH11">
        <f>IF(Datos!A11="","",AG11*MAX(C11*D11,1))</f>
        <v/>
      </c>
      <c r="AI11">
        <f>IF(Datos!A11="","",SUMIF($AH$2:$AH$301,"&gt;="&amp;AH11,$AH$2:$AH$301)/SUM($AH$2:$AH$301))</f>
        <v/>
      </c>
      <c r="AJ11" s="12">
        <f>IF(Datos!A11="","",IF(AI11&lt;=Parametros!$B$13,"A",IF(AI11&lt;=Parametros!$B$14,"B","C")))</f>
        <v/>
      </c>
      <c r="AK11" s="13">
        <f>IF(Datos!A11="","",VLOOKUP(AJ11,Parametros!$A$8:$C$10,2,FALSE))</f>
        <v/>
      </c>
      <c r="AL11">
        <f>IF(Datos!A11="","",VLOOKUP(AJ11,Parametros!$A$8:$C$10,3,FALSE))</f>
        <v/>
      </c>
      <c r="AM11">
        <f>IF(Datos!A11="","",NORMSINV(AK11))</f>
        <v/>
      </c>
      <c r="AN11">
        <f>IF(Datos!A11="","",D11/Parametros!$B$4)</f>
        <v/>
      </c>
      <c r="AO11">
        <f>IF(Datos!A11="","",MAX(0,ROUNDUP(AM11*(AN11*Parametros!$B$3)*SQRT((AL11+E11)),0)))</f>
        <v/>
      </c>
      <c r="AP11">
        <f>IF(Datos!A11="","",MAX(1,ROUNDUP(AN11*(AL11+E11)+AM11*(AN11*Parametros!$B$3)*SQRT((AL11+E11)),0)))</f>
        <v/>
      </c>
      <c r="AQ11">
        <f>IF(Datos!A11="","",IF(Datos!J11="","",Datos!J11))</f>
        <v/>
      </c>
      <c r="AR11">
        <f>IF(OR(Datos!A11="",AQ11=""),"",MAX(0,AQ11-AP11))</f>
        <v/>
      </c>
      <c r="AS11" s="10">
        <f>IF(OR(Datos!A11="",AQ11=""),"",AR11*C11)</f>
        <v/>
      </c>
      <c r="AT11" s="12">
        <f>IF(OR(Datos!A11="",AQ11=""),"",IF(AQ11&lt;AO11,"SI",""))</f>
        <v/>
      </c>
      <c r="AU11">
        <f>IF(Datos!A11="","",IF(AT11="SI","Reponer ahora",IF(AND(AQ11&lt;&gt;"",AR11&gt;0),"Bajar "&amp;TEXT(AR11,"#,##0")&amp;" un.","En rango")))</f>
        <v/>
      </c>
    </row>
    <row r="12">
      <c r="A12">
        <f>IF(Datos!A12="","",Datos!A12)</f>
        <v/>
      </c>
      <c r="B12">
        <f>IF(Datos!A12="","",Datos!B12)</f>
        <v/>
      </c>
      <c r="C12">
        <f>IF(Datos!A12="","",IFERROR(MAX(0,N(Datos!D12)),0))</f>
        <v/>
      </c>
      <c r="D12">
        <f>IF(Datos!A12="","",IFERROR(MAX(0,N(Datos!E12)),0))</f>
        <v/>
      </c>
      <c r="E12">
        <f>IF(Datos!A12="","",IFERROR(MAX(0,N(Datos!F12)),0))</f>
        <v/>
      </c>
      <c r="F12">
        <f>IF(Datos!A12="","",IFERROR(MAX(0,N(Datos!G12)),0))</f>
        <v/>
      </c>
      <c r="G12">
        <f>IF(Datos!A12="","",IFERROR(MAX(0,N(Datos!H12)),0))</f>
        <v/>
      </c>
      <c r="H12">
        <f>IF(Datos!A12="","",IFERROR(MAX(0,N(Datos!I12)),0))</f>
        <v/>
      </c>
      <c r="J12">
        <f>IF(Datos!A12="","",IF(MAX(C$2:C$301)-MIN(C$2:C$301)&lt;0.000000001,0.5,(C12-MIN(C$2:C$301))/(MAX(C$2:C$301)-MIN(C$2:C$301)))+0.000000001)</f>
        <v/>
      </c>
      <c r="K12">
        <f>IF(Datos!A12="","",IF(MAX(D$2:D$301)-MIN(D$2:D$301)&lt;0.000000001,0.5,(D12-MIN(D$2:D$301))/(MAX(D$2:D$301)-MIN(D$2:D$301)))+0.000000001)</f>
        <v/>
      </c>
      <c r="L12">
        <f>IF(Datos!A12="","",IF(MAX(E$2:E$301)-MIN(E$2:E$301)&lt;0.000000001,0.5,(E12-MIN(E$2:E$301))/(MAX(E$2:E$301)-MIN(E$2:E$301)))+0.000000001)</f>
        <v/>
      </c>
      <c r="M12">
        <f>IF(Datos!A12="","",IF(MAX(F$2:F$301)-MIN(F$2:F$301)&lt;0.000000001,0.5,(F12-MIN(F$2:F$301))/(MAX(F$2:F$301)-MIN(F$2:F$301)))+0.000000001)</f>
        <v/>
      </c>
      <c r="N12">
        <f>IF(Datos!A12="","",IF(MAX(G$2:G$301)-MIN(G$2:G$301)&lt;0.000000001,0.5,(G12-MIN(G$2:G$301))/(MAX(G$2:G$301)-MIN(G$2:G$301)))+0.000000001)</f>
        <v/>
      </c>
      <c r="O12">
        <f>IF(Datos!A12="","",IF(MAX(H$2:H$301)-MIN(H$2:H$301)&lt;0.000000001,0.5,(H12-MIN(H$2:H$301))/(MAX(H$2:H$301)-MIN(H$2:H$301)))+0.000000001)</f>
        <v/>
      </c>
      <c r="Q12">
        <f>IF(Datos!A12="","",(J12/SUM(J$2:J$301))*LN(J12/SUM(J$2:J$301)))</f>
        <v/>
      </c>
      <c r="R12">
        <f>IF(Datos!A12="","",(K12/SUM(K$2:K$301))*LN(K12/SUM(K$2:K$301)))</f>
        <v/>
      </c>
      <c r="S12">
        <f>IF(Datos!A12="","",(L12/SUM(L$2:L$301))*LN(L12/SUM(L$2:L$301)))</f>
        <v/>
      </c>
      <c r="T12">
        <f>IF(Datos!A12="","",(M12/SUM(M$2:M$301))*LN(M12/SUM(M$2:M$301)))</f>
        <v/>
      </c>
      <c r="U12">
        <f>IF(Datos!A12="","",(N12/SUM(N$2:N$301))*LN(N12/SUM(N$2:N$301)))</f>
        <v/>
      </c>
      <c r="V12">
        <f>IF(Datos!A12="","",(O12/SUM(O$2:O$301))*LN(O12/SUM(O$2:O$301)))</f>
        <v/>
      </c>
      <c r="X12">
        <f>IF(Datos!A12="","",IF(SUMSQ(C$2:C$301)=0,0,C12/SQRT(SUMSQ(C$2:C$301)))*$BE$2)</f>
        <v/>
      </c>
      <c r="Y12">
        <f>IF(Datos!A12="","",IF(SUMSQ(D$2:D$301)=0,0,D12/SQRT(SUMSQ(D$2:D$301)))*$BE$3)</f>
        <v/>
      </c>
      <c r="Z12">
        <f>IF(Datos!A12="","",IF(SUMSQ(E$2:E$301)=0,0,E12/SQRT(SUMSQ(E$2:E$301)))*$BE$4)</f>
        <v/>
      </c>
      <c r="AA12">
        <f>IF(Datos!A12="","",IF(SUMSQ(F$2:F$301)=0,0,F12/SQRT(SUMSQ(F$2:F$301)))*$BE$5)</f>
        <v/>
      </c>
      <c r="AB12">
        <f>IF(Datos!A12="","",IF(SUMSQ(G$2:G$301)=0,0,G12/SQRT(SUMSQ(G$2:G$301)))*$BE$6)</f>
        <v/>
      </c>
      <c r="AC12">
        <f>IF(Datos!A12="","",IF(SUMSQ(H$2:H$301)=0,0,H12/SQRT(SUMSQ(H$2:H$301)))*$BE$7)</f>
        <v/>
      </c>
      <c r="AE12">
        <f>IF(Datos!A12="","",SQRT(SUMXMY2(X12:AC12,$X$303:$AC$303)))</f>
        <v/>
      </c>
      <c r="AF12">
        <f>IF(Datos!A12="","",SQRT(SUMXMY2(X12:AC12,$X$304:$AC$304)))</f>
        <v/>
      </c>
      <c r="AG12" s="11">
        <f>IF(Datos!A12="","",IF(AE12+AF12&lt;0.000000001,0.5,AF12/(AE12+AF12)))</f>
        <v/>
      </c>
      <c r="AH12">
        <f>IF(Datos!A12="","",AG12*MAX(C12*D12,1))</f>
        <v/>
      </c>
      <c r="AI12">
        <f>IF(Datos!A12="","",SUMIF($AH$2:$AH$301,"&gt;="&amp;AH12,$AH$2:$AH$301)/SUM($AH$2:$AH$301))</f>
        <v/>
      </c>
      <c r="AJ12" s="12">
        <f>IF(Datos!A12="","",IF(AI12&lt;=Parametros!$B$13,"A",IF(AI12&lt;=Parametros!$B$14,"B","C")))</f>
        <v/>
      </c>
      <c r="AK12" s="13">
        <f>IF(Datos!A12="","",VLOOKUP(AJ12,Parametros!$A$8:$C$10,2,FALSE))</f>
        <v/>
      </c>
      <c r="AL12">
        <f>IF(Datos!A12="","",VLOOKUP(AJ12,Parametros!$A$8:$C$10,3,FALSE))</f>
        <v/>
      </c>
      <c r="AM12">
        <f>IF(Datos!A12="","",NORMSINV(AK12))</f>
        <v/>
      </c>
      <c r="AN12">
        <f>IF(Datos!A12="","",D12/Parametros!$B$4)</f>
        <v/>
      </c>
      <c r="AO12">
        <f>IF(Datos!A12="","",MAX(0,ROUNDUP(AM12*(AN12*Parametros!$B$3)*SQRT((AL12+E12)),0)))</f>
        <v/>
      </c>
      <c r="AP12">
        <f>IF(Datos!A12="","",MAX(1,ROUNDUP(AN12*(AL12+E12)+AM12*(AN12*Parametros!$B$3)*SQRT((AL12+E12)),0)))</f>
        <v/>
      </c>
      <c r="AQ12">
        <f>IF(Datos!A12="","",IF(Datos!J12="","",Datos!J12))</f>
        <v/>
      </c>
      <c r="AR12">
        <f>IF(OR(Datos!A12="",AQ12=""),"",MAX(0,AQ12-AP12))</f>
        <v/>
      </c>
      <c r="AS12" s="10">
        <f>IF(OR(Datos!A12="",AQ12=""),"",AR12*C12)</f>
        <v/>
      </c>
      <c r="AT12" s="12">
        <f>IF(OR(Datos!A12="",AQ12=""),"",IF(AQ12&lt;AO12,"SI",""))</f>
        <v/>
      </c>
      <c r="AU12">
        <f>IF(Datos!A12="","",IF(AT12="SI","Reponer ahora",IF(AND(AQ12&lt;&gt;"",AR12&gt;0),"Bajar "&amp;TEXT(AR12,"#,##0")&amp;" un.","En rango")))</f>
        <v/>
      </c>
    </row>
    <row r="13">
      <c r="A13">
        <f>IF(Datos!A13="","",Datos!A13)</f>
        <v/>
      </c>
      <c r="B13">
        <f>IF(Datos!A13="","",Datos!B13)</f>
        <v/>
      </c>
      <c r="C13">
        <f>IF(Datos!A13="","",IFERROR(MAX(0,N(Datos!D13)),0))</f>
        <v/>
      </c>
      <c r="D13">
        <f>IF(Datos!A13="","",IFERROR(MAX(0,N(Datos!E13)),0))</f>
        <v/>
      </c>
      <c r="E13">
        <f>IF(Datos!A13="","",IFERROR(MAX(0,N(Datos!F13)),0))</f>
        <v/>
      </c>
      <c r="F13">
        <f>IF(Datos!A13="","",IFERROR(MAX(0,N(Datos!G13)),0))</f>
        <v/>
      </c>
      <c r="G13">
        <f>IF(Datos!A13="","",IFERROR(MAX(0,N(Datos!H13)),0))</f>
        <v/>
      </c>
      <c r="H13">
        <f>IF(Datos!A13="","",IFERROR(MAX(0,N(Datos!I13)),0))</f>
        <v/>
      </c>
      <c r="J13">
        <f>IF(Datos!A13="","",IF(MAX(C$2:C$301)-MIN(C$2:C$301)&lt;0.000000001,0.5,(C13-MIN(C$2:C$301))/(MAX(C$2:C$301)-MIN(C$2:C$301)))+0.000000001)</f>
        <v/>
      </c>
      <c r="K13">
        <f>IF(Datos!A13="","",IF(MAX(D$2:D$301)-MIN(D$2:D$301)&lt;0.000000001,0.5,(D13-MIN(D$2:D$301))/(MAX(D$2:D$301)-MIN(D$2:D$301)))+0.000000001)</f>
        <v/>
      </c>
      <c r="L13">
        <f>IF(Datos!A13="","",IF(MAX(E$2:E$301)-MIN(E$2:E$301)&lt;0.000000001,0.5,(E13-MIN(E$2:E$301))/(MAX(E$2:E$301)-MIN(E$2:E$301)))+0.000000001)</f>
        <v/>
      </c>
      <c r="M13">
        <f>IF(Datos!A13="","",IF(MAX(F$2:F$301)-MIN(F$2:F$301)&lt;0.000000001,0.5,(F13-MIN(F$2:F$301))/(MAX(F$2:F$301)-MIN(F$2:F$301)))+0.000000001)</f>
        <v/>
      </c>
      <c r="N13">
        <f>IF(Datos!A13="","",IF(MAX(G$2:G$301)-MIN(G$2:G$301)&lt;0.000000001,0.5,(G13-MIN(G$2:G$301))/(MAX(G$2:G$301)-MIN(G$2:G$301)))+0.000000001)</f>
        <v/>
      </c>
      <c r="O13">
        <f>IF(Datos!A13="","",IF(MAX(H$2:H$301)-MIN(H$2:H$301)&lt;0.000000001,0.5,(H13-MIN(H$2:H$301))/(MAX(H$2:H$301)-MIN(H$2:H$301)))+0.000000001)</f>
        <v/>
      </c>
      <c r="Q13">
        <f>IF(Datos!A13="","",(J13/SUM(J$2:J$301))*LN(J13/SUM(J$2:J$301)))</f>
        <v/>
      </c>
      <c r="R13">
        <f>IF(Datos!A13="","",(K13/SUM(K$2:K$301))*LN(K13/SUM(K$2:K$301)))</f>
        <v/>
      </c>
      <c r="S13">
        <f>IF(Datos!A13="","",(L13/SUM(L$2:L$301))*LN(L13/SUM(L$2:L$301)))</f>
        <v/>
      </c>
      <c r="T13">
        <f>IF(Datos!A13="","",(M13/SUM(M$2:M$301))*LN(M13/SUM(M$2:M$301)))</f>
        <v/>
      </c>
      <c r="U13">
        <f>IF(Datos!A13="","",(N13/SUM(N$2:N$301))*LN(N13/SUM(N$2:N$301)))</f>
        <v/>
      </c>
      <c r="V13">
        <f>IF(Datos!A13="","",(O13/SUM(O$2:O$301))*LN(O13/SUM(O$2:O$301)))</f>
        <v/>
      </c>
      <c r="X13">
        <f>IF(Datos!A13="","",IF(SUMSQ(C$2:C$301)=0,0,C13/SQRT(SUMSQ(C$2:C$301)))*$BE$2)</f>
        <v/>
      </c>
      <c r="Y13">
        <f>IF(Datos!A13="","",IF(SUMSQ(D$2:D$301)=0,0,D13/SQRT(SUMSQ(D$2:D$301)))*$BE$3)</f>
        <v/>
      </c>
      <c r="Z13">
        <f>IF(Datos!A13="","",IF(SUMSQ(E$2:E$301)=0,0,E13/SQRT(SUMSQ(E$2:E$301)))*$BE$4)</f>
        <v/>
      </c>
      <c r="AA13">
        <f>IF(Datos!A13="","",IF(SUMSQ(F$2:F$301)=0,0,F13/SQRT(SUMSQ(F$2:F$301)))*$BE$5)</f>
        <v/>
      </c>
      <c r="AB13">
        <f>IF(Datos!A13="","",IF(SUMSQ(G$2:G$301)=0,0,G13/SQRT(SUMSQ(G$2:G$301)))*$BE$6)</f>
        <v/>
      </c>
      <c r="AC13">
        <f>IF(Datos!A13="","",IF(SUMSQ(H$2:H$301)=0,0,H13/SQRT(SUMSQ(H$2:H$301)))*$BE$7)</f>
        <v/>
      </c>
      <c r="AE13">
        <f>IF(Datos!A13="","",SQRT(SUMXMY2(X13:AC13,$X$303:$AC$303)))</f>
        <v/>
      </c>
      <c r="AF13">
        <f>IF(Datos!A13="","",SQRT(SUMXMY2(X13:AC13,$X$304:$AC$304)))</f>
        <v/>
      </c>
      <c r="AG13" s="11">
        <f>IF(Datos!A13="","",IF(AE13+AF13&lt;0.000000001,0.5,AF13/(AE13+AF13)))</f>
        <v/>
      </c>
      <c r="AH13">
        <f>IF(Datos!A13="","",AG13*MAX(C13*D13,1))</f>
        <v/>
      </c>
      <c r="AI13">
        <f>IF(Datos!A13="","",SUMIF($AH$2:$AH$301,"&gt;="&amp;AH13,$AH$2:$AH$301)/SUM($AH$2:$AH$301))</f>
        <v/>
      </c>
      <c r="AJ13" s="12">
        <f>IF(Datos!A13="","",IF(AI13&lt;=Parametros!$B$13,"A",IF(AI13&lt;=Parametros!$B$14,"B","C")))</f>
        <v/>
      </c>
      <c r="AK13" s="13">
        <f>IF(Datos!A13="","",VLOOKUP(AJ13,Parametros!$A$8:$C$10,2,FALSE))</f>
        <v/>
      </c>
      <c r="AL13">
        <f>IF(Datos!A13="","",VLOOKUP(AJ13,Parametros!$A$8:$C$10,3,FALSE))</f>
        <v/>
      </c>
      <c r="AM13">
        <f>IF(Datos!A13="","",NORMSINV(AK13))</f>
        <v/>
      </c>
      <c r="AN13">
        <f>IF(Datos!A13="","",D13/Parametros!$B$4)</f>
        <v/>
      </c>
      <c r="AO13">
        <f>IF(Datos!A13="","",MAX(0,ROUNDUP(AM13*(AN13*Parametros!$B$3)*SQRT((AL13+E13)),0)))</f>
        <v/>
      </c>
      <c r="AP13">
        <f>IF(Datos!A13="","",MAX(1,ROUNDUP(AN13*(AL13+E13)+AM13*(AN13*Parametros!$B$3)*SQRT((AL13+E13)),0)))</f>
        <v/>
      </c>
      <c r="AQ13">
        <f>IF(Datos!A13="","",IF(Datos!J13="","",Datos!J13))</f>
        <v/>
      </c>
      <c r="AR13">
        <f>IF(OR(Datos!A13="",AQ13=""),"",MAX(0,AQ13-AP13))</f>
        <v/>
      </c>
      <c r="AS13" s="10">
        <f>IF(OR(Datos!A13="",AQ13=""),"",AR13*C13)</f>
        <v/>
      </c>
      <c r="AT13" s="12">
        <f>IF(OR(Datos!A13="",AQ13=""),"",IF(AQ13&lt;AO13,"SI",""))</f>
        <v/>
      </c>
      <c r="AU13">
        <f>IF(Datos!A13="","",IF(AT13="SI","Reponer ahora",IF(AND(AQ13&lt;&gt;"",AR13&gt;0),"Bajar "&amp;TEXT(AR13,"#,##0")&amp;" un.","En rango")))</f>
        <v/>
      </c>
    </row>
    <row r="14">
      <c r="A14">
        <f>IF(Datos!A14="","",Datos!A14)</f>
        <v/>
      </c>
      <c r="B14">
        <f>IF(Datos!A14="","",Datos!B14)</f>
        <v/>
      </c>
      <c r="C14">
        <f>IF(Datos!A14="","",IFERROR(MAX(0,N(Datos!D14)),0))</f>
        <v/>
      </c>
      <c r="D14">
        <f>IF(Datos!A14="","",IFERROR(MAX(0,N(Datos!E14)),0))</f>
        <v/>
      </c>
      <c r="E14">
        <f>IF(Datos!A14="","",IFERROR(MAX(0,N(Datos!F14)),0))</f>
        <v/>
      </c>
      <c r="F14">
        <f>IF(Datos!A14="","",IFERROR(MAX(0,N(Datos!G14)),0))</f>
        <v/>
      </c>
      <c r="G14">
        <f>IF(Datos!A14="","",IFERROR(MAX(0,N(Datos!H14)),0))</f>
        <v/>
      </c>
      <c r="H14">
        <f>IF(Datos!A14="","",IFERROR(MAX(0,N(Datos!I14)),0))</f>
        <v/>
      </c>
      <c r="J14">
        <f>IF(Datos!A14="","",IF(MAX(C$2:C$301)-MIN(C$2:C$301)&lt;0.000000001,0.5,(C14-MIN(C$2:C$301))/(MAX(C$2:C$301)-MIN(C$2:C$301)))+0.000000001)</f>
        <v/>
      </c>
      <c r="K14">
        <f>IF(Datos!A14="","",IF(MAX(D$2:D$301)-MIN(D$2:D$301)&lt;0.000000001,0.5,(D14-MIN(D$2:D$301))/(MAX(D$2:D$301)-MIN(D$2:D$301)))+0.000000001)</f>
        <v/>
      </c>
      <c r="L14">
        <f>IF(Datos!A14="","",IF(MAX(E$2:E$301)-MIN(E$2:E$301)&lt;0.000000001,0.5,(E14-MIN(E$2:E$301))/(MAX(E$2:E$301)-MIN(E$2:E$301)))+0.000000001)</f>
        <v/>
      </c>
      <c r="M14">
        <f>IF(Datos!A14="","",IF(MAX(F$2:F$301)-MIN(F$2:F$301)&lt;0.000000001,0.5,(F14-MIN(F$2:F$301))/(MAX(F$2:F$301)-MIN(F$2:F$301)))+0.000000001)</f>
        <v/>
      </c>
      <c r="N14">
        <f>IF(Datos!A14="","",IF(MAX(G$2:G$301)-MIN(G$2:G$301)&lt;0.000000001,0.5,(G14-MIN(G$2:G$301))/(MAX(G$2:G$301)-MIN(G$2:G$301)))+0.000000001)</f>
        <v/>
      </c>
      <c r="O14">
        <f>IF(Datos!A14="","",IF(MAX(H$2:H$301)-MIN(H$2:H$301)&lt;0.000000001,0.5,(H14-MIN(H$2:H$301))/(MAX(H$2:H$301)-MIN(H$2:H$301)))+0.000000001)</f>
        <v/>
      </c>
      <c r="Q14">
        <f>IF(Datos!A14="","",(J14/SUM(J$2:J$301))*LN(J14/SUM(J$2:J$301)))</f>
        <v/>
      </c>
      <c r="R14">
        <f>IF(Datos!A14="","",(K14/SUM(K$2:K$301))*LN(K14/SUM(K$2:K$301)))</f>
        <v/>
      </c>
      <c r="S14">
        <f>IF(Datos!A14="","",(L14/SUM(L$2:L$301))*LN(L14/SUM(L$2:L$301)))</f>
        <v/>
      </c>
      <c r="T14">
        <f>IF(Datos!A14="","",(M14/SUM(M$2:M$301))*LN(M14/SUM(M$2:M$301)))</f>
        <v/>
      </c>
      <c r="U14">
        <f>IF(Datos!A14="","",(N14/SUM(N$2:N$301))*LN(N14/SUM(N$2:N$301)))</f>
        <v/>
      </c>
      <c r="V14">
        <f>IF(Datos!A14="","",(O14/SUM(O$2:O$301))*LN(O14/SUM(O$2:O$301)))</f>
        <v/>
      </c>
      <c r="X14">
        <f>IF(Datos!A14="","",IF(SUMSQ(C$2:C$301)=0,0,C14/SQRT(SUMSQ(C$2:C$301)))*$BE$2)</f>
        <v/>
      </c>
      <c r="Y14">
        <f>IF(Datos!A14="","",IF(SUMSQ(D$2:D$301)=0,0,D14/SQRT(SUMSQ(D$2:D$301)))*$BE$3)</f>
        <v/>
      </c>
      <c r="Z14">
        <f>IF(Datos!A14="","",IF(SUMSQ(E$2:E$301)=0,0,E14/SQRT(SUMSQ(E$2:E$301)))*$BE$4)</f>
        <v/>
      </c>
      <c r="AA14">
        <f>IF(Datos!A14="","",IF(SUMSQ(F$2:F$301)=0,0,F14/SQRT(SUMSQ(F$2:F$301)))*$BE$5)</f>
        <v/>
      </c>
      <c r="AB14">
        <f>IF(Datos!A14="","",IF(SUMSQ(G$2:G$301)=0,0,G14/SQRT(SUMSQ(G$2:G$301)))*$BE$6)</f>
        <v/>
      </c>
      <c r="AC14">
        <f>IF(Datos!A14="","",IF(SUMSQ(H$2:H$301)=0,0,H14/SQRT(SUMSQ(H$2:H$301)))*$BE$7)</f>
        <v/>
      </c>
      <c r="AE14">
        <f>IF(Datos!A14="","",SQRT(SUMXMY2(X14:AC14,$X$303:$AC$303)))</f>
        <v/>
      </c>
      <c r="AF14">
        <f>IF(Datos!A14="","",SQRT(SUMXMY2(X14:AC14,$X$304:$AC$304)))</f>
        <v/>
      </c>
      <c r="AG14" s="11">
        <f>IF(Datos!A14="","",IF(AE14+AF14&lt;0.000000001,0.5,AF14/(AE14+AF14)))</f>
        <v/>
      </c>
      <c r="AH14">
        <f>IF(Datos!A14="","",AG14*MAX(C14*D14,1))</f>
        <v/>
      </c>
      <c r="AI14">
        <f>IF(Datos!A14="","",SUMIF($AH$2:$AH$301,"&gt;="&amp;AH14,$AH$2:$AH$301)/SUM($AH$2:$AH$301))</f>
        <v/>
      </c>
      <c r="AJ14" s="12">
        <f>IF(Datos!A14="","",IF(AI14&lt;=Parametros!$B$13,"A",IF(AI14&lt;=Parametros!$B$14,"B","C")))</f>
        <v/>
      </c>
      <c r="AK14" s="13">
        <f>IF(Datos!A14="","",VLOOKUP(AJ14,Parametros!$A$8:$C$10,2,FALSE))</f>
        <v/>
      </c>
      <c r="AL14">
        <f>IF(Datos!A14="","",VLOOKUP(AJ14,Parametros!$A$8:$C$10,3,FALSE))</f>
        <v/>
      </c>
      <c r="AM14">
        <f>IF(Datos!A14="","",NORMSINV(AK14))</f>
        <v/>
      </c>
      <c r="AN14">
        <f>IF(Datos!A14="","",D14/Parametros!$B$4)</f>
        <v/>
      </c>
      <c r="AO14">
        <f>IF(Datos!A14="","",MAX(0,ROUNDUP(AM14*(AN14*Parametros!$B$3)*SQRT((AL14+E14)),0)))</f>
        <v/>
      </c>
      <c r="AP14">
        <f>IF(Datos!A14="","",MAX(1,ROUNDUP(AN14*(AL14+E14)+AM14*(AN14*Parametros!$B$3)*SQRT((AL14+E14)),0)))</f>
        <v/>
      </c>
      <c r="AQ14">
        <f>IF(Datos!A14="","",IF(Datos!J14="","",Datos!J14))</f>
        <v/>
      </c>
      <c r="AR14">
        <f>IF(OR(Datos!A14="",AQ14=""),"",MAX(0,AQ14-AP14))</f>
        <v/>
      </c>
      <c r="AS14" s="10">
        <f>IF(OR(Datos!A14="",AQ14=""),"",AR14*C14)</f>
        <v/>
      </c>
      <c r="AT14" s="12">
        <f>IF(OR(Datos!A14="",AQ14=""),"",IF(AQ14&lt;AO14,"SI",""))</f>
        <v/>
      </c>
      <c r="AU14">
        <f>IF(Datos!A14="","",IF(AT14="SI","Reponer ahora",IF(AND(AQ14&lt;&gt;"",AR14&gt;0),"Bajar "&amp;TEXT(AR14,"#,##0")&amp;" un.","En rango")))</f>
        <v/>
      </c>
    </row>
    <row r="15">
      <c r="A15">
        <f>IF(Datos!A15="","",Datos!A15)</f>
        <v/>
      </c>
      <c r="B15">
        <f>IF(Datos!A15="","",Datos!B15)</f>
        <v/>
      </c>
      <c r="C15">
        <f>IF(Datos!A15="","",IFERROR(MAX(0,N(Datos!D15)),0))</f>
        <v/>
      </c>
      <c r="D15">
        <f>IF(Datos!A15="","",IFERROR(MAX(0,N(Datos!E15)),0))</f>
        <v/>
      </c>
      <c r="E15">
        <f>IF(Datos!A15="","",IFERROR(MAX(0,N(Datos!F15)),0))</f>
        <v/>
      </c>
      <c r="F15">
        <f>IF(Datos!A15="","",IFERROR(MAX(0,N(Datos!G15)),0))</f>
        <v/>
      </c>
      <c r="G15">
        <f>IF(Datos!A15="","",IFERROR(MAX(0,N(Datos!H15)),0))</f>
        <v/>
      </c>
      <c r="H15">
        <f>IF(Datos!A15="","",IFERROR(MAX(0,N(Datos!I15)),0))</f>
        <v/>
      </c>
      <c r="J15">
        <f>IF(Datos!A15="","",IF(MAX(C$2:C$301)-MIN(C$2:C$301)&lt;0.000000001,0.5,(C15-MIN(C$2:C$301))/(MAX(C$2:C$301)-MIN(C$2:C$301)))+0.000000001)</f>
        <v/>
      </c>
      <c r="K15">
        <f>IF(Datos!A15="","",IF(MAX(D$2:D$301)-MIN(D$2:D$301)&lt;0.000000001,0.5,(D15-MIN(D$2:D$301))/(MAX(D$2:D$301)-MIN(D$2:D$301)))+0.000000001)</f>
        <v/>
      </c>
      <c r="L15">
        <f>IF(Datos!A15="","",IF(MAX(E$2:E$301)-MIN(E$2:E$301)&lt;0.000000001,0.5,(E15-MIN(E$2:E$301))/(MAX(E$2:E$301)-MIN(E$2:E$301)))+0.000000001)</f>
        <v/>
      </c>
      <c r="M15">
        <f>IF(Datos!A15="","",IF(MAX(F$2:F$301)-MIN(F$2:F$301)&lt;0.000000001,0.5,(F15-MIN(F$2:F$301))/(MAX(F$2:F$301)-MIN(F$2:F$301)))+0.000000001)</f>
        <v/>
      </c>
      <c r="N15">
        <f>IF(Datos!A15="","",IF(MAX(G$2:G$301)-MIN(G$2:G$301)&lt;0.000000001,0.5,(G15-MIN(G$2:G$301))/(MAX(G$2:G$301)-MIN(G$2:G$301)))+0.000000001)</f>
        <v/>
      </c>
      <c r="O15">
        <f>IF(Datos!A15="","",IF(MAX(H$2:H$301)-MIN(H$2:H$301)&lt;0.000000001,0.5,(H15-MIN(H$2:H$301))/(MAX(H$2:H$301)-MIN(H$2:H$301)))+0.000000001)</f>
        <v/>
      </c>
      <c r="Q15">
        <f>IF(Datos!A15="","",(J15/SUM(J$2:J$301))*LN(J15/SUM(J$2:J$301)))</f>
        <v/>
      </c>
      <c r="R15">
        <f>IF(Datos!A15="","",(K15/SUM(K$2:K$301))*LN(K15/SUM(K$2:K$301)))</f>
        <v/>
      </c>
      <c r="S15">
        <f>IF(Datos!A15="","",(L15/SUM(L$2:L$301))*LN(L15/SUM(L$2:L$301)))</f>
        <v/>
      </c>
      <c r="T15">
        <f>IF(Datos!A15="","",(M15/SUM(M$2:M$301))*LN(M15/SUM(M$2:M$301)))</f>
        <v/>
      </c>
      <c r="U15">
        <f>IF(Datos!A15="","",(N15/SUM(N$2:N$301))*LN(N15/SUM(N$2:N$301)))</f>
        <v/>
      </c>
      <c r="V15">
        <f>IF(Datos!A15="","",(O15/SUM(O$2:O$301))*LN(O15/SUM(O$2:O$301)))</f>
        <v/>
      </c>
      <c r="X15">
        <f>IF(Datos!A15="","",IF(SUMSQ(C$2:C$301)=0,0,C15/SQRT(SUMSQ(C$2:C$301)))*$BE$2)</f>
        <v/>
      </c>
      <c r="Y15">
        <f>IF(Datos!A15="","",IF(SUMSQ(D$2:D$301)=0,0,D15/SQRT(SUMSQ(D$2:D$301)))*$BE$3)</f>
        <v/>
      </c>
      <c r="Z15">
        <f>IF(Datos!A15="","",IF(SUMSQ(E$2:E$301)=0,0,E15/SQRT(SUMSQ(E$2:E$301)))*$BE$4)</f>
        <v/>
      </c>
      <c r="AA15">
        <f>IF(Datos!A15="","",IF(SUMSQ(F$2:F$301)=0,0,F15/SQRT(SUMSQ(F$2:F$301)))*$BE$5)</f>
        <v/>
      </c>
      <c r="AB15">
        <f>IF(Datos!A15="","",IF(SUMSQ(G$2:G$301)=0,0,G15/SQRT(SUMSQ(G$2:G$301)))*$BE$6)</f>
        <v/>
      </c>
      <c r="AC15">
        <f>IF(Datos!A15="","",IF(SUMSQ(H$2:H$301)=0,0,H15/SQRT(SUMSQ(H$2:H$301)))*$BE$7)</f>
        <v/>
      </c>
      <c r="AE15">
        <f>IF(Datos!A15="","",SQRT(SUMXMY2(X15:AC15,$X$303:$AC$303)))</f>
        <v/>
      </c>
      <c r="AF15">
        <f>IF(Datos!A15="","",SQRT(SUMXMY2(X15:AC15,$X$304:$AC$304)))</f>
        <v/>
      </c>
      <c r="AG15" s="11">
        <f>IF(Datos!A15="","",IF(AE15+AF15&lt;0.000000001,0.5,AF15/(AE15+AF15)))</f>
        <v/>
      </c>
      <c r="AH15">
        <f>IF(Datos!A15="","",AG15*MAX(C15*D15,1))</f>
        <v/>
      </c>
      <c r="AI15">
        <f>IF(Datos!A15="","",SUMIF($AH$2:$AH$301,"&gt;="&amp;AH15,$AH$2:$AH$301)/SUM($AH$2:$AH$301))</f>
        <v/>
      </c>
      <c r="AJ15" s="12">
        <f>IF(Datos!A15="","",IF(AI15&lt;=Parametros!$B$13,"A",IF(AI15&lt;=Parametros!$B$14,"B","C")))</f>
        <v/>
      </c>
      <c r="AK15" s="13">
        <f>IF(Datos!A15="","",VLOOKUP(AJ15,Parametros!$A$8:$C$10,2,FALSE))</f>
        <v/>
      </c>
      <c r="AL15">
        <f>IF(Datos!A15="","",VLOOKUP(AJ15,Parametros!$A$8:$C$10,3,FALSE))</f>
        <v/>
      </c>
      <c r="AM15">
        <f>IF(Datos!A15="","",NORMSINV(AK15))</f>
        <v/>
      </c>
      <c r="AN15">
        <f>IF(Datos!A15="","",D15/Parametros!$B$4)</f>
        <v/>
      </c>
      <c r="AO15">
        <f>IF(Datos!A15="","",MAX(0,ROUNDUP(AM15*(AN15*Parametros!$B$3)*SQRT((AL15+E15)),0)))</f>
        <v/>
      </c>
      <c r="AP15">
        <f>IF(Datos!A15="","",MAX(1,ROUNDUP(AN15*(AL15+E15)+AM15*(AN15*Parametros!$B$3)*SQRT((AL15+E15)),0)))</f>
        <v/>
      </c>
      <c r="AQ15">
        <f>IF(Datos!A15="","",IF(Datos!J15="","",Datos!J15))</f>
        <v/>
      </c>
      <c r="AR15">
        <f>IF(OR(Datos!A15="",AQ15=""),"",MAX(0,AQ15-AP15))</f>
        <v/>
      </c>
      <c r="AS15" s="10">
        <f>IF(OR(Datos!A15="",AQ15=""),"",AR15*C15)</f>
        <v/>
      </c>
      <c r="AT15" s="12">
        <f>IF(OR(Datos!A15="",AQ15=""),"",IF(AQ15&lt;AO15,"SI",""))</f>
        <v/>
      </c>
      <c r="AU15">
        <f>IF(Datos!A15="","",IF(AT15="SI","Reponer ahora",IF(AND(AQ15&lt;&gt;"",AR15&gt;0),"Bajar "&amp;TEXT(AR15,"#,##0")&amp;" un.","En rango")))</f>
        <v/>
      </c>
    </row>
    <row r="16">
      <c r="A16">
        <f>IF(Datos!A16="","",Datos!A16)</f>
        <v/>
      </c>
      <c r="B16">
        <f>IF(Datos!A16="","",Datos!B16)</f>
        <v/>
      </c>
      <c r="C16">
        <f>IF(Datos!A16="","",IFERROR(MAX(0,N(Datos!D16)),0))</f>
        <v/>
      </c>
      <c r="D16">
        <f>IF(Datos!A16="","",IFERROR(MAX(0,N(Datos!E16)),0))</f>
        <v/>
      </c>
      <c r="E16">
        <f>IF(Datos!A16="","",IFERROR(MAX(0,N(Datos!F16)),0))</f>
        <v/>
      </c>
      <c r="F16">
        <f>IF(Datos!A16="","",IFERROR(MAX(0,N(Datos!G16)),0))</f>
        <v/>
      </c>
      <c r="G16">
        <f>IF(Datos!A16="","",IFERROR(MAX(0,N(Datos!H16)),0))</f>
        <v/>
      </c>
      <c r="H16">
        <f>IF(Datos!A16="","",IFERROR(MAX(0,N(Datos!I16)),0))</f>
        <v/>
      </c>
      <c r="J16">
        <f>IF(Datos!A16="","",IF(MAX(C$2:C$301)-MIN(C$2:C$301)&lt;0.000000001,0.5,(C16-MIN(C$2:C$301))/(MAX(C$2:C$301)-MIN(C$2:C$301)))+0.000000001)</f>
        <v/>
      </c>
      <c r="K16">
        <f>IF(Datos!A16="","",IF(MAX(D$2:D$301)-MIN(D$2:D$301)&lt;0.000000001,0.5,(D16-MIN(D$2:D$301))/(MAX(D$2:D$301)-MIN(D$2:D$301)))+0.000000001)</f>
        <v/>
      </c>
      <c r="L16">
        <f>IF(Datos!A16="","",IF(MAX(E$2:E$301)-MIN(E$2:E$301)&lt;0.000000001,0.5,(E16-MIN(E$2:E$301))/(MAX(E$2:E$301)-MIN(E$2:E$301)))+0.000000001)</f>
        <v/>
      </c>
      <c r="M16">
        <f>IF(Datos!A16="","",IF(MAX(F$2:F$301)-MIN(F$2:F$301)&lt;0.000000001,0.5,(F16-MIN(F$2:F$301))/(MAX(F$2:F$301)-MIN(F$2:F$301)))+0.000000001)</f>
        <v/>
      </c>
      <c r="N16">
        <f>IF(Datos!A16="","",IF(MAX(G$2:G$301)-MIN(G$2:G$301)&lt;0.000000001,0.5,(G16-MIN(G$2:G$301))/(MAX(G$2:G$301)-MIN(G$2:G$301)))+0.000000001)</f>
        <v/>
      </c>
      <c r="O16">
        <f>IF(Datos!A16="","",IF(MAX(H$2:H$301)-MIN(H$2:H$301)&lt;0.000000001,0.5,(H16-MIN(H$2:H$301))/(MAX(H$2:H$301)-MIN(H$2:H$301)))+0.000000001)</f>
        <v/>
      </c>
      <c r="Q16">
        <f>IF(Datos!A16="","",(J16/SUM(J$2:J$301))*LN(J16/SUM(J$2:J$301)))</f>
        <v/>
      </c>
      <c r="R16">
        <f>IF(Datos!A16="","",(K16/SUM(K$2:K$301))*LN(K16/SUM(K$2:K$301)))</f>
        <v/>
      </c>
      <c r="S16">
        <f>IF(Datos!A16="","",(L16/SUM(L$2:L$301))*LN(L16/SUM(L$2:L$301)))</f>
        <v/>
      </c>
      <c r="T16">
        <f>IF(Datos!A16="","",(M16/SUM(M$2:M$301))*LN(M16/SUM(M$2:M$301)))</f>
        <v/>
      </c>
      <c r="U16">
        <f>IF(Datos!A16="","",(N16/SUM(N$2:N$301))*LN(N16/SUM(N$2:N$301)))</f>
        <v/>
      </c>
      <c r="V16">
        <f>IF(Datos!A16="","",(O16/SUM(O$2:O$301))*LN(O16/SUM(O$2:O$301)))</f>
        <v/>
      </c>
      <c r="X16">
        <f>IF(Datos!A16="","",IF(SUMSQ(C$2:C$301)=0,0,C16/SQRT(SUMSQ(C$2:C$301)))*$BE$2)</f>
        <v/>
      </c>
      <c r="Y16">
        <f>IF(Datos!A16="","",IF(SUMSQ(D$2:D$301)=0,0,D16/SQRT(SUMSQ(D$2:D$301)))*$BE$3)</f>
        <v/>
      </c>
      <c r="Z16">
        <f>IF(Datos!A16="","",IF(SUMSQ(E$2:E$301)=0,0,E16/SQRT(SUMSQ(E$2:E$301)))*$BE$4)</f>
        <v/>
      </c>
      <c r="AA16">
        <f>IF(Datos!A16="","",IF(SUMSQ(F$2:F$301)=0,0,F16/SQRT(SUMSQ(F$2:F$301)))*$BE$5)</f>
        <v/>
      </c>
      <c r="AB16">
        <f>IF(Datos!A16="","",IF(SUMSQ(G$2:G$301)=0,0,G16/SQRT(SUMSQ(G$2:G$301)))*$BE$6)</f>
        <v/>
      </c>
      <c r="AC16">
        <f>IF(Datos!A16="","",IF(SUMSQ(H$2:H$301)=0,0,H16/SQRT(SUMSQ(H$2:H$301)))*$BE$7)</f>
        <v/>
      </c>
      <c r="AE16">
        <f>IF(Datos!A16="","",SQRT(SUMXMY2(X16:AC16,$X$303:$AC$303)))</f>
        <v/>
      </c>
      <c r="AF16">
        <f>IF(Datos!A16="","",SQRT(SUMXMY2(X16:AC16,$X$304:$AC$304)))</f>
        <v/>
      </c>
      <c r="AG16" s="11">
        <f>IF(Datos!A16="","",IF(AE16+AF16&lt;0.000000001,0.5,AF16/(AE16+AF16)))</f>
        <v/>
      </c>
      <c r="AH16">
        <f>IF(Datos!A16="","",AG16*MAX(C16*D16,1))</f>
        <v/>
      </c>
      <c r="AI16">
        <f>IF(Datos!A16="","",SUMIF($AH$2:$AH$301,"&gt;="&amp;AH16,$AH$2:$AH$301)/SUM($AH$2:$AH$301))</f>
        <v/>
      </c>
      <c r="AJ16" s="12">
        <f>IF(Datos!A16="","",IF(AI16&lt;=Parametros!$B$13,"A",IF(AI16&lt;=Parametros!$B$14,"B","C")))</f>
        <v/>
      </c>
      <c r="AK16" s="13">
        <f>IF(Datos!A16="","",VLOOKUP(AJ16,Parametros!$A$8:$C$10,2,FALSE))</f>
        <v/>
      </c>
      <c r="AL16">
        <f>IF(Datos!A16="","",VLOOKUP(AJ16,Parametros!$A$8:$C$10,3,FALSE))</f>
        <v/>
      </c>
      <c r="AM16">
        <f>IF(Datos!A16="","",NORMSINV(AK16))</f>
        <v/>
      </c>
      <c r="AN16">
        <f>IF(Datos!A16="","",D16/Parametros!$B$4)</f>
        <v/>
      </c>
      <c r="AO16">
        <f>IF(Datos!A16="","",MAX(0,ROUNDUP(AM16*(AN16*Parametros!$B$3)*SQRT((AL16+E16)),0)))</f>
        <v/>
      </c>
      <c r="AP16">
        <f>IF(Datos!A16="","",MAX(1,ROUNDUP(AN16*(AL16+E16)+AM16*(AN16*Parametros!$B$3)*SQRT((AL16+E16)),0)))</f>
        <v/>
      </c>
      <c r="AQ16">
        <f>IF(Datos!A16="","",IF(Datos!J16="","",Datos!J16))</f>
        <v/>
      </c>
      <c r="AR16">
        <f>IF(OR(Datos!A16="",AQ16=""),"",MAX(0,AQ16-AP16))</f>
        <v/>
      </c>
      <c r="AS16" s="10">
        <f>IF(OR(Datos!A16="",AQ16=""),"",AR16*C16)</f>
        <v/>
      </c>
      <c r="AT16" s="12">
        <f>IF(OR(Datos!A16="",AQ16=""),"",IF(AQ16&lt;AO16,"SI",""))</f>
        <v/>
      </c>
      <c r="AU16">
        <f>IF(Datos!A16="","",IF(AT16="SI","Reponer ahora",IF(AND(AQ16&lt;&gt;"",AR16&gt;0),"Bajar "&amp;TEXT(AR16,"#,##0")&amp;" un.","En rango")))</f>
        <v/>
      </c>
    </row>
    <row r="17">
      <c r="A17">
        <f>IF(Datos!A17="","",Datos!A17)</f>
        <v/>
      </c>
      <c r="B17">
        <f>IF(Datos!A17="","",Datos!B17)</f>
        <v/>
      </c>
      <c r="C17">
        <f>IF(Datos!A17="","",IFERROR(MAX(0,N(Datos!D17)),0))</f>
        <v/>
      </c>
      <c r="D17">
        <f>IF(Datos!A17="","",IFERROR(MAX(0,N(Datos!E17)),0))</f>
        <v/>
      </c>
      <c r="E17">
        <f>IF(Datos!A17="","",IFERROR(MAX(0,N(Datos!F17)),0))</f>
        <v/>
      </c>
      <c r="F17">
        <f>IF(Datos!A17="","",IFERROR(MAX(0,N(Datos!G17)),0))</f>
        <v/>
      </c>
      <c r="G17">
        <f>IF(Datos!A17="","",IFERROR(MAX(0,N(Datos!H17)),0))</f>
        <v/>
      </c>
      <c r="H17">
        <f>IF(Datos!A17="","",IFERROR(MAX(0,N(Datos!I17)),0))</f>
        <v/>
      </c>
      <c r="J17">
        <f>IF(Datos!A17="","",IF(MAX(C$2:C$301)-MIN(C$2:C$301)&lt;0.000000001,0.5,(C17-MIN(C$2:C$301))/(MAX(C$2:C$301)-MIN(C$2:C$301)))+0.000000001)</f>
        <v/>
      </c>
      <c r="K17">
        <f>IF(Datos!A17="","",IF(MAX(D$2:D$301)-MIN(D$2:D$301)&lt;0.000000001,0.5,(D17-MIN(D$2:D$301))/(MAX(D$2:D$301)-MIN(D$2:D$301)))+0.000000001)</f>
        <v/>
      </c>
      <c r="L17">
        <f>IF(Datos!A17="","",IF(MAX(E$2:E$301)-MIN(E$2:E$301)&lt;0.000000001,0.5,(E17-MIN(E$2:E$301))/(MAX(E$2:E$301)-MIN(E$2:E$301)))+0.000000001)</f>
        <v/>
      </c>
      <c r="M17">
        <f>IF(Datos!A17="","",IF(MAX(F$2:F$301)-MIN(F$2:F$301)&lt;0.000000001,0.5,(F17-MIN(F$2:F$301))/(MAX(F$2:F$301)-MIN(F$2:F$301)))+0.000000001)</f>
        <v/>
      </c>
      <c r="N17">
        <f>IF(Datos!A17="","",IF(MAX(G$2:G$301)-MIN(G$2:G$301)&lt;0.000000001,0.5,(G17-MIN(G$2:G$301))/(MAX(G$2:G$301)-MIN(G$2:G$301)))+0.000000001)</f>
        <v/>
      </c>
      <c r="O17">
        <f>IF(Datos!A17="","",IF(MAX(H$2:H$301)-MIN(H$2:H$301)&lt;0.000000001,0.5,(H17-MIN(H$2:H$301))/(MAX(H$2:H$301)-MIN(H$2:H$301)))+0.000000001)</f>
        <v/>
      </c>
      <c r="Q17">
        <f>IF(Datos!A17="","",(J17/SUM(J$2:J$301))*LN(J17/SUM(J$2:J$301)))</f>
        <v/>
      </c>
      <c r="R17">
        <f>IF(Datos!A17="","",(K17/SUM(K$2:K$301))*LN(K17/SUM(K$2:K$301)))</f>
        <v/>
      </c>
      <c r="S17">
        <f>IF(Datos!A17="","",(L17/SUM(L$2:L$301))*LN(L17/SUM(L$2:L$301)))</f>
        <v/>
      </c>
      <c r="T17">
        <f>IF(Datos!A17="","",(M17/SUM(M$2:M$301))*LN(M17/SUM(M$2:M$301)))</f>
        <v/>
      </c>
      <c r="U17">
        <f>IF(Datos!A17="","",(N17/SUM(N$2:N$301))*LN(N17/SUM(N$2:N$301)))</f>
        <v/>
      </c>
      <c r="V17">
        <f>IF(Datos!A17="","",(O17/SUM(O$2:O$301))*LN(O17/SUM(O$2:O$301)))</f>
        <v/>
      </c>
      <c r="X17">
        <f>IF(Datos!A17="","",IF(SUMSQ(C$2:C$301)=0,0,C17/SQRT(SUMSQ(C$2:C$301)))*$BE$2)</f>
        <v/>
      </c>
      <c r="Y17">
        <f>IF(Datos!A17="","",IF(SUMSQ(D$2:D$301)=0,0,D17/SQRT(SUMSQ(D$2:D$301)))*$BE$3)</f>
        <v/>
      </c>
      <c r="Z17">
        <f>IF(Datos!A17="","",IF(SUMSQ(E$2:E$301)=0,0,E17/SQRT(SUMSQ(E$2:E$301)))*$BE$4)</f>
        <v/>
      </c>
      <c r="AA17">
        <f>IF(Datos!A17="","",IF(SUMSQ(F$2:F$301)=0,0,F17/SQRT(SUMSQ(F$2:F$301)))*$BE$5)</f>
        <v/>
      </c>
      <c r="AB17">
        <f>IF(Datos!A17="","",IF(SUMSQ(G$2:G$301)=0,0,G17/SQRT(SUMSQ(G$2:G$301)))*$BE$6)</f>
        <v/>
      </c>
      <c r="AC17">
        <f>IF(Datos!A17="","",IF(SUMSQ(H$2:H$301)=0,0,H17/SQRT(SUMSQ(H$2:H$301)))*$BE$7)</f>
        <v/>
      </c>
      <c r="AE17">
        <f>IF(Datos!A17="","",SQRT(SUMXMY2(X17:AC17,$X$303:$AC$303)))</f>
        <v/>
      </c>
      <c r="AF17">
        <f>IF(Datos!A17="","",SQRT(SUMXMY2(X17:AC17,$X$304:$AC$304)))</f>
        <v/>
      </c>
      <c r="AG17" s="11">
        <f>IF(Datos!A17="","",IF(AE17+AF17&lt;0.000000001,0.5,AF17/(AE17+AF17)))</f>
        <v/>
      </c>
      <c r="AH17">
        <f>IF(Datos!A17="","",AG17*MAX(C17*D17,1))</f>
        <v/>
      </c>
      <c r="AI17">
        <f>IF(Datos!A17="","",SUMIF($AH$2:$AH$301,"&gt;="&amp;AH17,$AH$2:$AH$301)/SUM($AH$2:$AH$301))</f>
        <v/>
      </c>
      <c r="AJ17" s="12">
        <f>IF(Datos!A17="","",IF(AI17&lt;=Parametros!$B$13,"A",IF(AI17&lt;=Parametros!$B$14,"B","C")))</f>
        <v/>
      </c>
      <c r="AK17" s="13">
        <f>IF(Datos!A17="","",VLOOKUP(AJ17,Parametros!$A$8:$C$10,2,FALSE))</f>
        <v/>
      </c>
      <c r="AL17">
        <f>IF(Datos!A17="","",VLOOKUP(AJ17,Parametros!$A$8:$C$10,3,FALSE))</f>
        <v/>
      </c>
      <c r="AM17">
        <f>IF(Datos!A17="","",NORMSINV(AK17))</f>
        <v/>
      </c>
      <c r="AN17">
        <f>IF(Datos!A17="","",D17/Parametros!$B$4)</f>
        <v/>
      </c>
      <c r="AO17">
        <f>IF(Datos!A17="","",MAX(0,ROUNDUP(AM17*(AN17*Parametros!$B$3)*SQRT((AL17+E17)),0)))</f>
        <v/>
      </c>
      <c r="AP17">
        <f>IF(Datos!A17="","",MAX(1,ROUNDUP(AN17*(AL17+E17)+AM17*(AN17*Parametros!$B$3)*SQRT((AL17+E17)),0)))</f>
        <v/>
      </c>
      <c r="AQ17">
        <f>IF(Datos!A17="","",IF(Datos!J17="","",Datos!J17))</f>
        <v/>
      </c>
      <c r="AR17">
        <f>IF(OR(Datos!A17="",AQ17=""),"",MAX(0,AQ17-AP17))</f>
        <v/>
      </c>
      <c r="AS17" s="10">
        <f>IF(OR(Datos!A17="",AQ17=""),"",AR17*C17)</f>
        <v/>
      </c>
      <c r="AT17" s="12">
        <f>IF(OR(Datos!A17="",AQ17=""),"",IF(AQ17&lt;AO17,"SI",""))</f>
        <v/>
      </c>
      <c r="AU17">
        <f>IF(Datos!A17="","",IF(AT17="SI","Reponer ahora",IF(AND(AQ17&lt;&gt;"",AR17&gt;0),"Bajar "&amp;TEXT(AR17,"#,##0")&amp;" un.","En rango")))</f>
        <v/>
      </c>
    </row>
    <row r="18">
      <c r="A18">
        <f>IF(Datos!A18="","",Datos!A18)</f>
        <v/>
      </c>
      <c r="B18">
        <f>IF(Datos!A18="","",Datos!B18)</f>
        <v/>
      </c>
      <c r="C18">
        <f>IF(Datos!A18="","",IFERROR(MAX(0,N(Datos!D18)),0))</f>
        <v/>
      </c>
      <c r="D18">
        <f>IF(Datos!A18="","",IFERROR(MAX(0,N(Datos!E18)),0))</f>
        <v/>
      </c>
      <c r="E18">
        <f>IF(Datos!A18="","",IFERROR(MAX(0,N(Datos!F18)),0))</f>
        <v/>
      </c>
      <c r="F18">
        <f>IF(Datos!A18="","",IFERROR(MAX(0,N(Datos!G18)),0))</f>
        <v/>
      </c>
      <c r="G18">
        <f>IF(Datos!A18="","",IFERROR(MAX(0,N(Datos!H18)),0))</f>
        <v/>
      </c>
      <c r="H18">
        <f>IF(Datos!A18="","",IFERROR(MAX(0,N(Datos!I18)),0))</f>
        <v/>
      </c>
      <c r="J18">
        <f>IF(Datos!A18="","",IF(MAX(C$2:C$301)-MIN(C$2:C$301)&lt;0.000000001,0.5,(C18-MIN(C$2:C$301))/(MAX(C$2:C$301)-MIN(C$2:C$301)))+0.000000001)</f>
        <v/>
      </c>
      <c r="K18">
        <f>IF(Datos!A18="","",IF(MAX(D$2:D$301)-MIN(D$2:D$301)&lt;0.000000001,0.5,(D18-MIN(D$2:D$301))/(MAX(D$2:D$301)-MIN(D$2:D$301)))+0.000000001)</f>
        <v/>
      </c>
      <c r="L18">
        <f>IF(Datos!A18="","",IF(MAX(E$2:E$301)-MIN(E$2:E$301)&lt;0.000000001,0.5,(E18-MIN(E$2:E$301))/(MAX(E$2:E$301)-MIN(E$2:E$301)))+0.000000001)</f>
        <v/>
      </c>
      <c r="M18">
        <f>IF(Datos!A18="","",IF(MAX(F$2:F$301)-MIN(F$2:F$301)&lt;0.000000001,0.5,(F18-MIN(F$2:F$301))/(MAX(F$2:F$301)-MIN(F$2:F$301)))+0.000000001)</f>
        <v/>
      </c>
      <c r="N18">
        <f>IF(Datos!A18="","",IF(MAX(G$2:G$301)-MIN(G$2:G$301)&lt;0.000000001,0.5,(G18-MIN(G$2:G$301))/(MAX(G$2:G$301)-MIN(G$2:G$301)))+0.000000001)</f>
        <v/>
      </c>
      <c r="O18">
        <f>IF(Datos!A18="","",IF(MAX(H$2:H$301)-MIN(H$2:H$301)&lt;0.000000001,0.5,(H18-MIN(H$2:H$301))/(MAX(H$2:H$301)-MIN(H$2:H$301)))+0.000000001)</f>
        <v/>
      </c>
      <c r="Q18">
        <f>IF(Datos!A18="","",(J18/SUM(J$2:J$301))*LN(J18/SUM(J$2:J$301)))</f>
        <v/>
      </c>
      <c r="R18">
        <f>IF(Datos!A18="","",(K18/SUM(K$2:K$301))*LN(K18/SUM(K$2:K$301)))</f>
        <v/>
      </c>
      <c r="S18">
        <f>IF(Datos!A18="","",(L18/SUM(L$2:L$301))*LN(L18/SUM(L$2:L$301)))</f>
        <v/>
      </c>
      <c r="T18">
        <f>IF(Datos!A18="","",(M18/SUM(M$2:M$301))*LN(M18/SUM(M$2:M$301)))</f>
        <v/>
      </c>
      <c r="U18">
        <f>IF(Datos!A18="","",(N18/SUM(N$2:N$301))*LN(N18/SUM(N$2:N$301)))</f>
        <v/>
      </c>
      <c r="V18">
        <f>IF(Datos!A18="","",(O18/SUM(O$2:O$301))*LN(O18/SUM(O$2:O$301)))</f>
        <v/>
      </c>
      <c r="X18">
        <f>IF(Datos!A18="","",IF(SUMSQ(C$2:C$301)=0,0,C18/SQRT(SUMSQ(C$2:C$301)))*$BE$2)</f>
        <v/>
      </c>
      <c r="Y18">
        <f>IF(Datos!A18="","",IF(SUMSQ(D$2:D$301)=0,0,D18/SQRT(SUMSQ(D$2:D$301)))*$BE$3)</f>
        <v/>
      </c>
      <c r="Z18">
        <f>IF(Datos!A18="","",IF(SUMSQ(E$2:E$301)=0,0,E18/SQRT(SUMSQ(E$2:E$301)))*$BE$4)</f>
        <v/>
      </c>
      <c r="AA18">
        <f>IF(Datos!A18="","",IF(SUMSQ(F$2:F$301)=0,0,F18/SQRT(SUMSQ(F$2:F$301)))*$BE$5)</f>
        <v/>
      </c>
      <c r="AB18">
        <f>IF(Datos!A18="","",IF(SUMSQ(G$2:G$301)=0,0,G18/SQRT(SUMSQ(G$2:G$301)))*$BE$6)</f>
        <v/>
      </c>
      <c r="AC18">
        <f>IF(Datos!A18="","",IF(SUMSQ(H$2:H$301)=0,0,H18/SQRT(SUMSQ(H$2:H$301)))*$BE$7)</f>
        <v/>
      </c>
      <c r="AE18">
        <f>IF(Datos!A18="","",SQRT(SUMXMY2(X18:AC18,$X$303:$AC$303)))</f>
        <v/>
      </c>
      <c r="AF18">
        <f>IF(Datos!A18="","",SQRT(SUMXMY2(X18:AC18,$X$304:$AC$304)))</f>
        <v/>
      </c>
      <c r="AG18" s="11">
        <f>IF(Datos!A18="","",IF(AE18+AF18&lt;0.000000001,0.5,AF18/(AE18+AF18)))</f>
        <v/>
      </c>
      <c r="AH18">
        <f>IF(Datos!A18="","",AG18*MAX(C18*D18,1))</f>
        <v/>
      </c>
      <c r="AI18">
        <f>IF(Datos!A18="","",SUMIF($AH$2:$AH$301,"&gt;="&amp;AH18,$AH$2:$AH$301)/SUM($AH$2:$AH$301))</f>
        <v/>
      </c>
      <c r="AJ18" s="12">
        <f>IF(Datos!A18="","",IF(AI18&lt;=Parametros!$B$13,"A",IF(AI18&lt;=Parametros!$B$14,"B","C")))</f>
        <v/>
      </c>
      <c r="AK18" s="13">
        <f>IF(Datos!A18="","",VLOOKUP(AJ18,Parametros!$A$8:$C$10,2,FALSE))</f>
        <v/>
      </c>
      <c r="AL18">
        <f>IF(Datos!A18="","",VLOOKUP(AJ18,Parametros!$A$8:$C$10,3,FALSE))</f>
        <v/>
      </c>
      <c r="AM18">
        <f>IF(Datos!A18="","",NORMSINV(AK18))</f>
        <v/>
      </c>
      <c r="AN18">
        <f>IF(Datos!A18="","",D18/Parametros!$B$4)</f>
        <v/>
      </c>
      <c r="AO18">
        <f>IF(Datos!A18="","",MAX(0,ROUNDUP(AM18*(AN18*Parametros!$B$3)*SQRT((AL18+E18)),0)))</f>
        <v/>
      </c>
      <c r="AP18">
        <f>IF(Datos!A18="","",MAX(1,ROUNDUP(AN18*(AL18+E18)+AM18*(AN18*Parametros!$B$3)*SQRT((AL18+E18)),0)))</f>
        <v/>
      </c>
      <c r="AQ18">
        <f>IF(Datos!A18="","",IF(Datos!J18="","",Datos!J18))</f>
        <v/>
      </c>
      <c r="AR18">
        <f>IF(OR(Datos!A18="",AQ18=""),"",MAX(0,AQ18-AP18))</f>
        <v/>
      </c>
      <c r="AS18" s="10">
        <f>IF(OR(Datos!A18="",AQ18=""),"",AR18*C18)</f>
        <v/>
      </c>
      <c r="AT18" s="12">
        <f>IF(OR(Datos!A18="",AQ18=""),"",IF(AQ18&lt;AO18,"SI",""))</f>
        <v/>
      </c>
      <c r="AU18">
        <f>IF(Datos!A18="","",IF(AT18="SI","Reponer ahora",IF(AND(AQ18&lt;&gt;"",AR18&gt;0),"Bajar "&amp;TEXT(AR18,"#,##0")&amp;" un.","En rango")))</f>
        <v/>
      </c>
    </row>
    <row r="19">
      <c r="A19">
        <f>IF(Datos!A19="","",Datos!A19)</f>
        <v/>
      </c>
      <c r="B19">
        <f>IF(Datos!A19="","",Datos!B19)</f>
        <v/>
      </c>
      <c r="C19">
        <f>IF(Datos!A19="","",IFERROR(MAX(0,N(Datos!D19)),0))</f>
        <v/>
      </c>
      <c r="D19">
        <f>IF(Datos!A19="","",IFERROR(MAX(0,N(Datos!E19)),0))</f>
        <v/>
      </c>
      <c r="E19">
        <f>IF(Datos!A19="","",IFERROR(MAX(0,N(Datos!F19)),0))</f>
        <v/>
      </c>
      <c r="F19">
        <f>IF(Datos!A19="","",IFERROR(MAX(0,N(Datos!G19)),0))</f>
        <v/>
      </c>
      <c r="G19">
        <f>IF(Datos!A19="","",IFERROR(MAX(0,N(Datos!H19)),0))</f>
        <v/>
      </c>
      <c r="H19">
        <f>IF(Datos!A19="","",IFERROR(MAX(0,N(Datos!I19)),0))</f>
        <v/>
      </c>
      <c r="J19">
        <f>IF(Datos!A19="","",IF(MAX(C$2:C$301)-MIN(C$2:C$301)&lt;0.000000001,0.5,(C19-MIN(C$2:C$301))/(MAX(C$2:C$301)-MIN(C$2:C$301)))+0.000000001)</f>
        <v/>
      </c>
      <c r="K19">
        <f>IF(Datos!A19="","",IF(MAX(D$2:D$301)-MIN(D$2:D$301)&lt;0.000000001,0.5,(D19-MIN(D$2:D$301))/(MAX(D$2:D$301)-MIN(D$2:D$301)))+0.000000001)</f>
        <v/>
      </c>
      <c r="L19">
        <f>IF(Datos!A19="","",IF(MAX(E$2:E$301)-MIN(E$2:E$301)&lt;0.000000001,0.5,(E19-MIN(E$2:E$301))/(MAX(E$2:E$301)-MIN(E$2:E$301)))+0.000000001)</f>
        <v/>
      </c>
      <c r="M19">
        <f>IF(Datos!A19="","",IF(MAX(F$2:F$301)-MIN(F$2:F$301)&lt;0.000000001,0.5,(F19-MIN(F$2:F$301))/(MAX(F$2:F$301)-MIN(F$2:F$301)))+0.000000001)</f>
        <v/>
      </c>
      <c r="N19">
        <f>IF(Datos!A19="","",IF(MAX(G$2:G$301)-MIN(G$2:G$301)&lt;0.000000001,0.5,(G19-MIN(G$2:G$301))/(MAX(G$2:G$301)-MIN(G$2:G$301)))+0.000000001)</f>
        <v/>
      </c>
      <c r="O19">
        <f>IF(Datos!A19="","",IF(MAX(H$2:H$301)-MIN(H$2:H$301)&lt;0.000000001,0.5,(H19-MIN(H$2:H$301))/(MAX(H$2:H$301)-MIN(H$2:H$301)))+0.000000001)</f>
        <v/>
      </c>
      <c r="Q19">
        <f>IF(Datos!A19="","",(J19/SUM(J$2:J$301))*LN(J19/SUM(J$2:J$301)))</f>
        <v/>
      </c>
      <c r="R19">
        <f>IF(Datos!A19="","",(K19/SUM(K$2:K$301))*LN(K19/SUM(K$2:K$301)))</f>
        <v/>
      </c>
      <c r="S19">
        <f>IF(Datos!A19="","",(L19/SUM(L$2:L$301))*LN(L19/SUM(L$2:L$301)))</f>
        <v/>
      </c>
      <c r="T19">
        <f>IF(Datos!A19="","",(M19/SUM(M$2:M$301))*LN(M19/SUM(M$2:M$301)))</f>
        <v/>
      </c>
      <c r="U19">
        <f>IF(Datos!A19="","",(N19/SUM(N$2:N$301))*LN(N19/SUM(N$2:N$301)))</f>
        <v/>
      </c>
      <c r="V19">
        <f>IF(Datos!A19="","",(O19/SUM(O$2:O$301))*LN(O19/SUM(O$2:O$301)))</f>
        <v/>
      </c>
      <c r="X19">
        <f>IF(Datos!A19="","",IF(SUMSQ(C$2:C$301)=0,0,C19/SQRT(SUMSQ(C$2:C$301)))*$BE$2)</f>
        <v/>
      </c>
      <c r="Y19">
        <f>IF(Datos!A19="","",IF(SUMSQ(D$2:D$301)=0,0,D19/SQRT(SUMSQ(D$2:D$301)))*$BE$3)</f>
        <v/>
      </c>
      <c r="Z19">
        <f>IF(Datos!A19="","",IF(SUMSQ(E$2:E$301)=0,0,E19/SQRT(SUMSQ(E$2:E$301)))*$BE$4)</f>
        <v/>
      </c>
      <c r="AA19">
        <f>IF(Datos!A19="","",IF(SUMSQ(F$2:F$301)=0,0,F19/SQRT(SUMSQ(F$2:F$301)))*$BE$5)</f>
        <v/>
      </c>
      <c r="AB19">
        <f>IF(Datos!A19="","",IF(SUMSQ(G$2:G$301)=0,0,G19/SQRT(SUMSQ(G$2:G$301)))*$BE$6)</f>
        <v/>
      </c>
      <c r="AC19">
        <f>IF(Datos!A19="","",IF(SUMSQ(H$2:H$301)=0,0,H19/SQRT(SUMSQ(H$2:H$301)))*$BE$7)</f>
        <v/>
      </c>
      <c r="AE19">
        <f>IF(Datos!A19="","",SQRT(SUMXMY2(X19:AC19,$X$303:$AC$303)))</f>
        <v/>
      </c>
      <c r="AF19">
        <f>IF(Datos!A19="","",SQRT(SUMXMY2(X19:AC19,$X$304:$AC$304)))</f>
        <v/>
      </c>
      <c r="AG19" s="11">
        <f>IF(Datos!A19="","",IF(AE19+AF19&lt;0.000000001,0.5,AF19/(AE19+AF19)))</f>
        <v/>
      </c>
      <c r="AH19">
        <f>IF(Datos!A19="","",AG19*MAX(C19*D19,1))</f>
        <v/>
      </c>
      <c r="AI19">
        <f>IF(Datos!A19="","",SUMIF($AH$2:$AH$301,"&gt;="&amp;AH19,$AH$2:$AH$301)/SUM($AH$2:$AH$301))</f>
        <v/>
      </c>
      <c r="AJ19" s="12">
        <f>IF(Datos!A19="","",IF(AI19&lt;=Parametros!$B$13,"A",IF(AI19&lt;=Parametros!$B$14,"B","C")))</f>
        <v/>
      </c>
      <c r="AK19" s="13">
        <f>IF(Datos!A19="","",VLOOKUP(AJ19,Parametros!$A$8:$C$10,2,FALSE))</f>
        <v/>
      </c>
      <c r="AL19">
        <f>IF(Datos!A19="","",VLOOKUP(AJ19,Parametros!$A$8:$C$10,3,FALSE))</f>
        <v/>
      </c>
      <c r="AM19">
        <f>IF(Datos!A19="","",NORMSINV(AK19))</f>
        <v/>
      </c>
      <c r="AN19">
        <f>IF(Datos!A19="","",D19/Parametros!$B$4)</f>
        <v/>
      </c>
      <c r="AO19">
        <f>IF(Datos!A19="","",MAX(0,ROUNDUP(AM19*(AN19*Parametros!$B$3)*SQRT((AL19+E19)),0)))</f>
        <v/>
      </c>
      <c r="AP19">
        <f>IF(Datos!A19="","",MAX(1,ROUNDUP(AN19*(AL19+E19)+AM19*(AN19*Parametros!$B$3)*SQRT((AL19+E19)),0)))</f>
        <v/>
      </c>
      <c r="AQ19">
        <f>IF(Datos!A19="","",IF(Datos!J19="","",Datos!J19))</f>
        <v/>
      </c>
      <c r="AR19">
        <f>IF(OR(Datos!A19="",AQ19=""),"",MAX(0,AQ19-AP19))</f>
        <v/>
      </c>
      <c r="AS19" s="10">
        <f>IF(OR(Datos!A19="",AQ19=""),"",AR19*C19)</f>
        <v/>
      </c>
      <c r="AT19" s="12">
        <f>IF(OR(Datos!A19="",AQ19=""),"",IF(AQ19&lt;AO19,"SI",""))</f>
        <v/>
      </c>
      <c r="AU19">
        <f>IF(Datos!A19="","",IF(AT19="SI","Reponer ahora",IF(AND(AQ19&lt;&gt;"",AR19&gt;0),"Bajar "&amp;TEXT(AR19,"#,##0")&amp;" un.","En rango")))</f>
        <v/>
      </c>
    </row>
    <row r="20">
      <c r="A20">
        <f>IF(Datos!A20="","",Datos!A20)</f>
        <v/>
      </c>
      <c r="B20">
        <f>IF(Datos!A20="","",Datos!B20)</f>
        <v/>
      </c>
      <c r="C20">
        <f>IF(Datos!A20="","",IFERROR(MAX(0,N(Datos!D20)),0))</f>
        <v/>
      </c>
      <c r="D20">
        <f>IF(Datos!A20="","",IFERROR(MAX(0,N(Datos!E20)),0))</f>
        <v/>
      </c>
      <c r="E20">
        <f>IF(Datos!A20="","",IFERROR(MAX(0,N(Datos!F20)),0))</f>
        <v/>
      </c>
      <c r="F20">
        <f>IF(Datos!A20="","",IFERROR(MAX(0,N(Datos!G20)),0))</f>
        <v/>
      </c>
      <c r="G20">
        <f>IF(Datos!A20="","",IFERROR(MAX(0,N(Datos!H20)),0))</f>
        <v/>
      </c>
      <c r="H20">
        <f>IF(Datos!A20="","",IFERROR(MAX(0,N(Datos!I20)),0))</f>
        <v/>
      </c>
      <c r="J20">
        <f>IF(Datos!A20="","",IF(MAX(C$2:C$301)-MIN(C$2:C$301)&lt;0.000000001,0.5,(C20-MIN(C$2:C$301))/(MAX(C$2:C$301)-MIN(C$2:C$301)))+0.000000001)</f>
        <v/>
      </c>
      <c r="K20">
        <f>IF(Datos!A20="","",IF(MAX(D$2:D$301)-MIN(D$2:D$301)&lt;0.000000001,0.5,(D20-MIN(D$2:D$301))/(MAX(D$2:D$301)-MIN(D$2:D$301)))+0.000000001)</f>
        <v/>
      </c>
      <c r="L20">
        <f>IF(Datos!A20="","",IF(MAX(E$2:E$301)-MIN(E$2:E$301)&lt;0.000000001,0.5,(E20-MIN(E$2:E$301))/(MAX(E$2:E$301)-MIN(E$2:E$301)))+0.000000001)</f>
        <v/>
      </c>
      <c r="M20">
        <f>IF(Datos!A20="","",IF(MAX(F$2:F$301)-MIN(F$2:F$301)&lt;0.000000001,0.5,(F20-MIN(F$2:F$301))/(MAX(F$2:F$301)-MIN(F$2:F$301)))+0.000000001)</f>
        <v/>
      </c>
      <c r="N20">
        <f>IF(Datos!A20="","",IF(MAX(G$2:G$301)-MIN(G$2:G$301)&lt;0.000000001,0.5,(G20-MIN(G$2:G$301))/(MAX(G$2:G$301)-MIN(G$2:G$301)))+0.000000001)</f>
        <v/>
      </c>
      <c r="O20">
        <f>IF(Datos!A20="","",IF(MAX(H$2:H$301)-MIN(H$2:H$301)&lt;0.000000001,0.5,(H20-MIN(H$2:H$301))/(MAX(H$2:H$301)-MIN(H$2:H$301)))+0.000000001)</f>
        <v/>
      </c>
      <c r="Q20">
        <f>IF(Datos!A20="","",(J20/SUM(J$2:J$301))*LN(J20/SUM(J$2:J$301)))</f>
        <v/>
      </c>
      <c r="R20">
        <f>IF(Datos!A20="","",(K20/SUM(K$2:K$301))*LN(K20/SUM(K$2:K$301)))</f>
        <v/>
      </c>
      <c r="S20">
        <f>IF(Datos!A20="","",(L20/SUM(L$2:L$301))*LN(L20/SUM(L$2:L$301)))</f>
        <v/>
      </c>
      <c r="T20">
        <f>IF(Datos!A20="","",(M20/SUM(M$2:M$301))*LN(M20/SUM(M$2:M$301)))</f>
        <v/>
      </c>
      <c r="U20">
        <f>IF(Datos!A20="","",(N20/SUM(N$2:N$301))*LN(N20/SUM(N$2:N$301)))</f>
        <v/>
      </c>
      <c r="V20">
        <f>IF(Datos!A20="","",(O20/SUM(O$2:O$301))*LN(O20/SUM(O$2:O$301)))</f>
        <v/>
      </c>
      <c r="X20">
        <f>IF(Datos!A20="","",IF(SUMSQ(C$2:C$301)=0,0,C20/SQRT(SUMSQ(C$2:C$301)))*$BE$2)</f>
        <v/>
      </c>
      <c r="Y20">
        <f>IF(Datos!A20="","",IF(SUMSQ(D$2:D$301)=0,0,D20/SQRT(SUMSQ(D$2:D$301)))*$BE$3)</f>
        <v/>
      </c>
      <c r="Z20">
        <f>IF(Datos!A20="","",IF(SUMSQ(E$2:E$301)=0,0,E20/SQRT(SUMSQ(E$2:E$301)))*$BE$4)</f>
        <v/>
      </c>
      <c r="AA20">
        <f>IF(Datos!A20="","",IF(SUMSQ(F$2:F$301)=0,0,F20/SQRT(SUMSQ(F$2:F$301)))*$BE$5)</f>
        <v/>
      </c>
      <c r="AB20">
        <f>IF(Datos!A20="","",IF(SUMSQ(G$2:G$301)=0,0,G20/SQRT(SUMSQ(G$2:G$301)))*$BE$6)</f>
        <v/>
      </c>
      <c r="AC20">
        <f>IF(Datos!A20="","",IF(SUMSQ(H$2:H$301)=0,0,H20/SQRT(SUMSQ(H$2:H$301)))*$BE$7)</f>
        <v/>
      </c>
      <c r="AE20">
        <f>IF(Datos!A20="","",SQRT(SUMXMY2(X20:AC20,$X$303:$AC$303)))</f>
        <v/>
      </c>
      <c r="AF20">
        <f>IF(Datos!A20="","",SQRT(SUMXMY2(X20:AC20,$X$304:$AC$304)))</f>
        <v/>
      </c>
      <c r="AG20" s="11">
        <f>IF(Datos!A20="","",IF(AE20+AF20&lt;0.000000001,0.5,AF20/(AE20+AF20)))</f>
        <v/>
      </c>
      <c r="AH20">
        <f>IF(Datos!A20="","",AG20*MAX(C20*D20,1))</f>
        <v/>
      </c>
      <c r="AI20">
        <f>IF(Datos!A20="","",SUMIF($AH$2:$AH$301,"&gt;="&amp;AH20,$AH$2:$AH$301)/SUM($AH$2:$AH$301))</f>
        <v/>
      </c>
      <c r="AJ20" s="12">
        <f>IF(Datos!A20="","",IF(AI20&lt;=Parametros!$B$13,"A",IF(AI20&lt;=Parametros!$B$14,"B","C")))</f>
        <v/>
      </c>
      <c r="AK20" s="13">
        <f>IF(Datos!A20="","",VLOOKUP(AJ20,Parametros!$A$8:$C$10,2,FALSE))</f>
        <v/>
      </c>
      <c r="AL20">
        <f>IF(Datos!A20="","",VLOOKUP(AJ20,Parametros!$A$8:$C$10,3,FALSE))</f>
        <v/>
      </c>
      <c r="AM20">
        <f>IF(Datos!A20="","",NORMSINV(AK20))</f>
        <v/>
      </c>
      <c r="AN20">
        <f>IF(Datos!A20="","",D20/Parametros!$B$4)</f>
        <v/>
      </c>
      <c r="AO20">
        <f>IF(Datos!A20="","",MAX(0,ROUNDUP(AM20*(AN20*Parametros!$B$3)*SQRT((AL20+E20)),0)))</f>
        <v/>
      </c>
      <c r="AP20">
        <f>IF(Datos!A20="","",MAX(1,ROUNDUP(AN20*(AL20+E20)+AM20*(AN20*Parametros!$B$3)*SQRT((AL20+E20)),0)))</f>
        <v/>
      </c>
      <c r="AQ20">
        <f>IF(Datos!A20="","",IF(Datos!J20="","",Datos!J20))</f>
        <v/>
      </c>
      <c r="AR20">
        <f>IF(OR(Datos!A20="",AQ20=""),"",MAX(0,AQ20-AP20))</f>
        <v/>
      </c>
      <c r="AS20" s="10">
        <f>IF(OR(Datos!A20="",AQ20=""),"",AR20*C20)</f>
        <v/>
      </c>
      <c r="AT20" s="12">
        <f>IF(OR(Datos!A20="",AQ20=""),"",IF(AQ20&lt;AO20,"SI",""))</f>
        <v/>
      </c>
      <c r="AU20">
        <f>IF(Datos!A20="","",IF(AT20="SI","Reponer ahora",IF(AND(AQ20&lt;&gt;"",AR20&gt;0),"Bajar "&amp;TEXT(AR20,"#,##0")&amp;" un.","En rango")))</f>
        <v/>
      </c>
    </row>
    <row r="21">
      <c r="A21">
        <f>IF(Datos!A21="","",Datos!A21)</f>
        <v/>
      </c>
      <c r="B21">
        <f>IF(Datos!A21="","",Datos!B21)</f>
        <v/>
      </c>
      <c r="C21">
        <f>IF(Datos!A21="","",IFERROR(MAX(0,N(Datos!D21)),0))</f>
        <v/>
      </c>
      <c r="D21">
        <f>IF(Datos!A21="","",IFERROR(MAX(0,N(Datos!E21)),0))</f>
        <v/>
      </c>
      <c r="E21">
        <f>IF(Datos!A21="","",IFERROR(MAX(0,N(Datos!F21)),0))</f>
        <v/>
      </c>
      <c r="F21">
        <f>IF(Datos!A21="","",IFERROR(MAX(0,N(Datos!G21)),0))</f>
        <v/>
      </c>
      <c r="G21">
        <f>IF(Datos!A21="","",IFERROR(MAX(0,N(Datos!H21)),0))</f>
        <v/>
      </c>
      <c r="H21">
        <f>IF(Datos!A21="","",IFERROR(MAX(0,N(Datos!I21)),0))</f>
        <v/>
      </c>
      <c r="J21">
        <f>IF(Datos!A21="","",IF(MAX(C$2:C$301)-MIN(C$2:C$301)&lt;0.000000001,0.5,(C21-MIN(C$2:C$301))/(MAX(C$2:C$301)-MIN(C$2:C$301)))+0.000000001)</f>
        <v/>
      </c>
      <c r="K21">
        <f>IF(Datos!A21="","",IF(MAX(D$2:D$301)-MIN(D$2:D$301)&lt;0.000000001,0.5,(D21-MIN(D$2:D$301))/(MAX(D$2:D$301)-MIN(D$2:D$301)))+0.000000001)</f>
        <v/>
      </c>
      <c r="L21">
        <f>IF(Datos!A21="","",IF(MAX(E$2:E$301)-MIN(E$2:E$301)&lt;0.000000001,0.5,(E21-MIN(E$2:E$301))/(MAX(E$2:E$301)-MIN(E$2:E$301)))+0.000000001)</f>
        <v/>
      </c>
      <c r="M21">
        <f>IF(Datos!A21="","",IF(MAX(F$2:F$301)-MIN(F$2:F$301)&lt;0.000000001,0.5,(F21-MIN(F$2:F$301))/(MAX(F$2:F$301)-MIN(F$2:F$301)))+0.000000001)</f>
        <v/>
      </c>
      <c r="N21">
        <f>IF(Datos!A21="","",IF(MAX(G$2:G$301)-MIN(G$2:G$301)&lt;0.000000001,0.5,(G21-MIN(G$2:G$301))/(MAX(G$2:G$301)-MIN(G$2:G$301)))+0.000000001)</f>
        <v/>
      </c>
      <c r="O21">
        <f>IF(Datos!A21="","",IF(MAX(H$2:H$301)-MIN(H$2:H$301)&lt;0.000000001,0.5,(H21-MIN(H$2:H$301))/(MAX(H$2:H$301)-MIN(H$2:H$301)))+0.000000001)</f>
        <v/>
      </c>
      <c r="Q21">
        <f>IF(Datos!A21="","",(J21/SUM(J$2:J$301))*LN(J21/SUM(J$2:J$301)))</f>
        <v/>
      </c>
      <c r="R21">
        <f>IF(Datos!A21="","",(K21/SUM(K$2:K$301))*LN(K21/SUM(K$2:K$301)))</f>
        <v/>
      </c>
      <c r="S21">
        <f>IF(Datos!A21="","",(L21/SUM(L$2:L$301))*LN(L21/SUM(L$2:L$301)))</f>
        <v/>
      </c>
      <c r="T21">
        <f>IF(Datos!A21="","",(M21/SUM(M$2:M$301))*LN(M21/SUM(M$2:M$301)))</f>
        <v/>
      </c>
      <c r="U21">
        <f>IF(Datos!A21="","",(N21/SUM(N$2:N$301))*LN(N21/SUM(N$2:N$301)))</f>
        <v/>
      </c>
      <c r="V21">
        <f>IF(Datos!A21="","",(O21/SUM(O$2:O$301))*LN(O21/SUM(O$2:O$301)))</f>
        <v/>
      </c>
      <c r="X21">
        <f>IF(Datos!A21="","",IF(SUMSQ(C$2:C$301)=0,0,C21/SQRT(SUMSQ(C$2:C$301)))*$BE$2)</f>
        <v/>
      </c>
      <c r="Y21">
        <f>IF(Datos!A21="","",IF(SUMSQ(D$2:D$301)=0,0,D21/SQRT(SUMSQ(D$2:D$301)))*$BE$3)</f>
        <v/>
      </c>
      <c r="Z21">
        <f>IF(Datos!A21="","",IF(SUMSQ(E$2:E$301)=0,0,E21/SQRT(SUMSQ(E$2:E$301)))*$BE$4)</f>
        <v/>
      </c>
      <c r="AA21">
        <f>IF(Datos!A21="","",IF(SUMSQ(F$2:F$301)=0,0,F21/SQRT(SUMSQ(F$2:F$301)))*$BE$5)</f>
        <v/>
      </c>
      <c r="AB21">
        <f>IF(Datos!A21="","",IF(SUMSQ(G$2:G$301)=0,0,G21/SQRT(SUMSQ(G$2:G$301)))*$BE$6)</f>
        <v/>
      </c>
      <c r="AC21">
        <f>IF(Datos!A21="","",IF(SUMSQ(H$2:H$301)=0,0,H21/SQRT(SUMSQ(H$2:H$301)))*$BE$7)</f>
        <v/>
      </c>
      <c r="AE21">
        <f>IF(Datos!A21="","",SQRT(SUMXMY2(X21:AC21,$X$303:$AC$303)))</f>
        <v/>
      </c>
      <c r="AF21">
        <f>IF(Datos!A21="","",SQRT(SUMXMY2(X21:AC21,$X$304:$AC$304)))</f>
        <v/>
      </c>
      <c r="AG21" s="11">
        <f>IF(Datos!A21="","",IF(AE21+AF21&lt;0.000000001,0.5,AF21/(AE21+AF21)))</f>
        <v/>
      </c>
      <c r="AH21">
        <f>IF(Datos!A21="","",AG21*MAX(C21*D21,1))</f>
        <v/>
      </c>
      <c r="AI21">
        <f>IF(Datos!A21="","",SUMIF($AH$2:$AH$301,"&gt;="&amp;AH21,$AH$2:$AH$301)/SUM($AH$2:$AH$301))</f>
        <v/>
      </c>
      <c r="AJ21" s="12">
        <f>IF(Datos!A21="","",IF(AI21&lt;=Parametros!$B$13,"A",IF(AI21&lt;=Parametros!$B$14,"B","C")))</f>
        <v/>
      </c>
      <c r="AK21" s="13">
        <f>IF(Datos!A21="","",VLOOKUP(AJ21,Parametros!$A$8:$C$10,2,FALSE))</f>
        <v/>
      </c>
      <c r="AL21">
        <f>IF(Datos!A21="","",VLOOKUP(AJ21,Parametros!$A$8:$C$10,3,FALSE))</f>
        <v/>
      </c>
      <c r="AM21">
        <f>IF(Datos!A21="","",NORMSINV(AK21))</f>
        <v/>
      </c>
      <c r="AN21">
        <f>IF(Datos!A21="","",D21/Parametros!$B$4)</f>
        <v/>
      </c>
      <c r="AO21">
        <f>IF(Datos!A21="","",MAX(0,ROUNDUP(AM21*(AN21*Parametros!$B$3)*SQRT((AL21+E21)),0)))</f>
        <v/>
      </c>
      <c r="AP21">
        <f>IF(Datos!A21="","",MAX(1,ROUNDUP(AN21*(AL21+E21)+AM21*(AN21*Parametros!$B$3)*SQRT((AL21+E21)),0)))</f>
        <v/>
      </c>
      <c r="AQ21">
        <f>IF(Datos!A21="","",IF(Datos!J21="","",Datos!J21))</f>
        <v/>
      </c>
      <c r="AR21">
        <f>IF(OR(Datos!A21="",AQ21=""),"",MAX(0,AQ21-AP21))</f>
        <v/>
      </c>
      <c r="AS21" s="10">
        <f>IF(OR(Datos!A21="",AQ21=""),"",AR21*C21)</f>
        <v/>
      </c>
      <c r="AT21" s="12">
        <f>IF(OR(Datos!A21="",AQ21=""),"",IF(AQ21&lt;AO21,"SI",""))</f>
        <v/>
      </c>
      <c r="AU21">
        <f>IF(Datos!A21="","",IF(AT21="SI","Reponer ahora",IF(AND(AQ21&lt;&gt;"",AR21&gt;0),"Bajar "&amp;TEXT(AR21,"#,##0")&amp;" un.","En rango")))</f>
        <v/>
      </c>
    </row>
    <row r="22">
      <c r="A22">
        <f>IF(Datos!A22="","",Datos!A22)</f>
        <v/>
      </c>
      <c r="B22">
        <f>IF(Datos!A22="","",Datos!B22)</f>
        <v/>
      </c>
      <c r="C22">
        <f>IF(Datos!A22="","",IFERROR(MAX(0,N(Datos!D22)),0))</f>
        <v/>
      </c>
      <c r="D22">
        <f>IF(Datos!A22="","",IFERROR(MAX(0,N(Datos!E22)),0))</f>
        <v/>
      </c>
      <c r="E22">
        <f>IF(Datos!A22="","",IFERROR(MAX(0,N(Datos!F22)),0))</f>
        <v/>
      </c>
      <c r="F22">
        <f>IF(Datos!A22="","",IFERROR(MAX(0,N(Datos!G22)),0))</f>
        <v/>
      </c>
      <c r="G22">
        <f>IF(Datos!A22="","",IFERROR(MAX(0,N(Datos!H22)),0))</f>
        <v/>
      </c>
      <c r="H22">
        <f>IF(Datos!A22="","",IFERROR(MAX(0,N(Datos!I22)),0))</f>
        <v/>
      </c>
      <c r="J22">
        <f>IF(Datos!A22="","",IF(MAX(C$2:C$301)-MIN(C$2:C$301)&lt;0.000000001,0.5,(C22-MIN(C$2:C$301))/(MAX(C$2:C$301)-MIN(C$2:C$301)))+0.000000001)</f>
        <v/>
      </c>
      <c r="K22">
        <f>IF(Datos!A22="","",IF(MAX(D$2:D$301)-MIN(D$2:D$301)&lt;0.000000001,0.5,(D22-MIN(D$2:D$301))/(MAX(D$2:D$301)-MIN(D$2:D$301)))+0.000000001)</f>
        <v/>
      </c>
      <c r="L22">
        <f>IF(Datos!A22="","",IF(MAX(E$2:E$301)-MIN(E$2:E$301)&lt;0.000000001,0.5,(E22-MIN(E$2:E$301))/(MAX(E$2:E$301)-MIN(E$2:E$301)))+0.000000001)</f>
        <v/>
      </c>
      <c r="M22">
        <f>IF(Datos!A22="","",IF(MAX(F$2:F$301)-MIN(F$2:F$301)&lt;0.000000001,0.5,(F22-MIN(F$2:F$301))/(MAX(F$2:F$301)-MIN(F$2:F$301)))+0.000000001)</f>
        <v/>
      </c>
      <c r="N22">
        <f>IF(Datos!A22="","",IF(MAX(G$2:G$301)-MIN(G$2:G$301)&lt;0.000000001,0.5,(G22-MIN(G$2:G$301))/(MAX(G$2:G$301)-MIN(G$2:G$301)))+0.000000001)</f>
        <v/>
      </c>
      <c r="O22">
        <f>IF(Datos!A22="","",IF(MAX(H$2:H$301)-MIN(H$2:H$301)&lt;0.000000001,0.5,(H22-MIN(H$2:H$301))/(MAX(H$2:H$301)-MIN(H$2:H$301)))+0.000000001)</f>
        <v/>
      </c>
      <c r="Q22">
        <f>IF(Datos!A22="","",(J22/SUM(J$2:J$301))*LN(J22/SUM(J$2:J$301)))</f>
        <v/>
      </c>
      <c r="R22">
        <f>IF(Datos!A22="","",(K22/SUM(K$2:K$301))*LN(K22/SUM(K$2:K$301)))</f>
        <v/>
      </c>
      <c r="S22">
        <f>IF(Datos!A22="","",(L22/SUM(L$2:L$301))*LN(L22/SUM(L$2:L$301)))</f>
        <v/>
      </c>
      <c r="T22">
        <f>IF(Datos!A22="","",(M22/SUM(M$2:M$301))*LN(M22/SUM(M$2:M$301)))</f>
        <v/>
      </c>
      <c r="U22">
        <f>IF(Datos!A22="","",(N22/SUM(N$2:N$301))*LN(N22/SUM(N$2:N$301)))</f>
        <v/>
      </c>
      <c r="V22">
        <f>IF(Datos!A22="","",(O22/SUM(O$2:O$301))*LN(O22/SUM(O$2:O$301)))</f>
        <v/>
      </c>
      <c r="X22">
        <f>IF(Datos!A22="","",IF(SUMSQ(C$2:C$301)=0,0,C22/SQRT(SUMSQ(C$2:C$301)))*$BE$2)</f>
        <v/>
      </c>
      <c r="Y22">
        <f>IF(Datos!A22="","",IF(SUMSQ(D$2:D$301)=0,0,D22/SQRT(SUMSQ(D$2:D$301)))*$BE$3)</f>
        <v/>
      </c>
      <c r="Z22">
        <f>IF(Datos!A22="","",IF(SUMSQ(E$2:E$301)=0,0,E22/SQRT(SUMSQ(E$2:E$301)))*$BE$4)</f>
        <v/>
      </c>
      <c r="AA22">
        <f>IF(Datos!A22="","",IF(SUMSQ(F$2:F$301)=0,0,F22/SQRT(SUMSQ(F$2:F$301)))*$BE$5)</f>
        <v/>
      </c>
      <c r="AB22">
        <f>IF(Datos!A22="","",IF(SUMSQ(G$2:G$301)=0,0,G22/SQRT(SUMSQ(G$2:G$301)))*$BE$6)</f>
        <v/>
      </c>
      <c r="AC22">
        <f>IF(Datos!A22="","",IF(SUMSQ(H$2:H$301)=0,0,H22/SQRT(SUMSQ(H$2:H$301)))*$BE$7)</f>
        <v/>
      </c>
      <c r="AE22">
        <f>IF(Datos!A22="","",SQRT(SUMXMY2(X22:AC22,$X$303:$AC$303)))</f>
        <v/>
      </c>
      <c r="AF22">
        <f>IF(Datos!A22="","",SQRT(SUMXMY2(X22:AC22,$X$304:$AC$304)))</f>
        <v/>
      </c>
      <c r="AG22" s="11">
        <f>IF(Datos!A22="","",IF(AE22+AF22&lt;0.000000001,0.5,AF22/(AE22+AF22)))</f>
        <v/>
      </c>
      <c r="AH22">
        <f>IF(Datos!A22="","",AG22*MAX(C22*D22,1))</f>
        <v/>
      </c>
      <c r="AI22">
        <f>IF(Datos!A22="","",SUMIF($AH$2:$AH$301,"&gt;="&amp;AH22,$AH$2:$AH$301)/SUM($AH$2:$AH$301))</f>
        <v/>
      </c>
      <c r="AJ22" s="12">
        <f>IF(Datos!A22="","",IF(AI22&lt;=Parametros!$B$13,"A",IF(AI22&lt;=Parametros!$B$14,"B","C")))</f>
        <v/>
      </c>
      <c r="AK22" s="13">
        <f>IF(Datos!A22="","",VLOOKUP(AJ22,Parametros!$A$8:$C$10,2,FALSE))</f>
        <v/>
      </c>
      <c r="AL22">
        <f>IF(Datos!A22="","",VLOOKUP(AJ22,Parametros!$A$8:$C$10,3,FALSE))</f>
        <v/>
      </c>
      <c r="AM22">
        <f>IF(Datos!A22="","",NORMSINV(AK22))</f>
        <v/>
      </c>
      <c r="AN22">
        <f>IF(Datos!A22="","",D22/Parametros!$B$4)</f>
        <v/>
      </c>
      <c r="AO22">
        <f>IF(Datos!A22="","",MAX(0,ROUNDUP(AM22*(AN22*Parametros!$B$3)*SQRT((AL22+E22)),0)))</f>
        <v/>
      </c>
      <c r="AP22">
        <f>IF(Datos!A22="","",MAX(1,ROUNDUP(AN22*(AL22+E22)+AM22*(AN22*Parametros!$B$3)*SQRT((AL22+E22)),0)))</f>
        <v/>
      </c>
      <c r="AQ22">
        <f>IF(Datos!A22="","",IF(Datos!J22="","",Datos!J22))</f>
        <v/>
      </c>
      <c r="AR22">
        <f>IF(OR(Datos!A22="",AQ22=""),"",MAX(0,AQ22-AP22))</f>
        <v/>
      </c>
      <c r="AS22" s="10">
        <f>IF(OR(Datos!A22="",AQ22=""),"",AR22*C22)</f>
        <v/>
      </c>
      <c r="AT22" s="12">
        <f>IF(OR(Datos!A22="",AQ22=""),"",IF(AQ22&lt;AO22,"SI",""))</f>
        <v/>
      </c>
      <c r="AU22">
        <f>IF(Datos!A22="","",IF(AT22="SI","Reponer ahora",IF(AND(AQ22&lt;&gt;"",AR22&gt;0),"Bajar "&amp;TEXT(AR22,"#,##0")&amp;" un.","En rango")))</f>
        <v/>
      </c>
    </row>
    <row r="23">
      <c r="A23">
        <f>IF(Datos!A23="","",Datos!A23)</f>
        <v/>
      </c>
      <c r="B23">
        <f>IF(Datos!A23="","",Datos!B23)</f>
        <v/>
      </c>
      <c r="C23">
        <f>IF(Datos!A23="","",IFERROR(MAX(0,N(Datos!D23)),0))</f>
        <v/>
      </c>
      <c r="D23">
        <f>IF(Datos!A23="","",IFERROR(MAX(0,N(Datos!E23)),0))</f>
        <v/>
      </c>
      <c r="E23">
        <f>IF(Datos!A23="","",IFERROR(MAX(0,N(Datos!F23)),0))</f>
        <v/>
      </c>
      <c r="F23">
        <f>IF(Datos!A23="","",IFERROR(MAX(0,N(Datos!G23)),0))</f>
        <v/>
      </c>
      <c r="G23">
        <f>IF(Datos!A23="","",IFERROR(MAX(0,N(Datos!H23)),0))</f>
        <v/>
      </c>
      <c r="H23">
        <f>IF(Datos!A23="","",IFERROR(MAX(0,N(Datos!I23)),0))</f>
        <v/>
      </c>
      <c r="J23">
        <f>IF(Datos!A23="","",IF(MAX(C$2:C$301)-MIN(C$2:C$301)&lt;0.000000001,0.5,(C23-MIN(C$2:C$301))/(MAX(C$2:C$301)-MIN(C$2:C$301)))+0.000000001)</f>
        <v/>
      </c>
      <c r="K23">
        <f>IF(Datos!A23="","",IF(MAX(D$2:D$301)-MIN(D$2:D$301)&lt;0.000000001,0.5,(D23-MIN(D$2:D$301))/(MAX(D$2:D$301)-MIN(D$2:D$301)))+0.000000001)</f>
        <v/>
      </c>
      <c r="L23">
        <f>IF(Datos!A23="","",IF(MAX(E$2:E$301)-MIN(E$2:E$301)&lt;0.000000001,0.5,(E23-MIN(E$2:E$301))/(MAX(E$2:E$301)-MIN(E$2:E$301)))+0.000000001)</f>
        <v/>
      </c>
      <c r="M23">
        <f>IF(Datos!A23="","",IF(MAX(F$2:F$301)-MIN(F$2:F$301)&lt;0.000000001,0.5,(F23-MIN(F$2:F$301))/(MAX(F$2:F$301)-MIN(F$2:F$301)))+0.000000001)</f>
        <v/>
      </c>
      <c r="N23">
        <f>IF(Datos!A23="","",IF(MAX(G$2:G$301)-MIN(G$2:G$301)&lt;0.000000001,0.5,(G23-MIN(G$2:G$301))/(MAX(G$2:G$301)-MIN(G$2:G$301)))+0.000000001)</f>
        <v/>
      </c>
      <c r="O23">
        <f>IF(Datos!A23="","",IF(MAX(H$2:H$301)-MIN(H$2:H$301)&lt;0.000000001,0.5,(H23-MIN(H$2:H$301))/(MAX(H$2:H$301)-MIN(H$2:H$301)))+0.000000001)</f>
        <v/>
      </c>
      <c r="Q23">
        <f>IF(Datos!A23="","",(J23/SUM(J$2:J$301))*LN(J23/SUM(J$2:J$301)))</f>
        <v/>
      </c>
      <c r="R23">
        <f>IF(Datos!A23="","",(K23/SUM(K$2:K$301))*LN(K23/SUM(K$2:K$301)))</f>
        <v/>
      </c>
      <c r="S23">
        <f>IF(Datos!A23="","",(L23/SUM(L$2:L$301))*LN(L23/SUM(L$2:L$301)))</f>
        <v/>
      </c>
      <c r="T23">
        <f>IF(Datos!A23="","",(M23/SUM(M$2:M$301))*LN(M23/SUM(M$2:M$301)))</f>
        <v/>
      </c>
      <c r="U23">
        <f>IF(Datos!A23="","",(N23/SUM(N$2:N$301))*LN(N23/SUM(N$2:N$301)))</f>
        <v/>
      </c>
      <c r="V23">
        <f>IF(Datos!A23="","",(O23/SUM(O$2:O$301))*LN(O23/SUM(O$2:O$301)))</f>
        <v/>
      </c>
      <c r="X23">
        <f>IF(Datos!A23="","",IF(SUMSQ(C$2:C$301)=0,0,C23/SQRT(SUMSQ(C$2:C$301)))*$BE$2)</f>
        <v/>
      </c>
      <c r="Y23">
        <f>IF(Datos!A23="","",IF(SUMSQ(D$2:D$301)=0,0,D23/SQRT(SUMSQ(D$2:D$301)))*$BE$3)</f>
        <v/>
      </c>
      <c r="Z23">
        <f>IF(Datos!A23="","",IF(SUMSQ(E$2:E$301)=0,0,E23/SQRT(SUMSQ(E$2:E$301)))*$BE$4)</f>
        <v/>
      </c>
      <c r="AA23">
        <f>IF(Datos!A23="","",IF(SUMSQ(F$2:F$301)=0,0,F23/SQRT(SUMSQ(F$2:F$301)))*$BE$5)</f>
        <v/>
      </c>
      <c r="AB23">
        <f>IF(Datos!A23="","",IF(SUMSQ(G$2:G$301)=0,0,G23/SQRT(SUMSQ(G$2:G$301)))*$BE$6)</f>
        <v/>
      </c>
      <c r="AC23">
        <f>IF(Datos!A23="","",IF(SUMSQ(H$2:H$301)=0,0,H23/SQRT(SUMSQ(H$2:H$301)))*$BE$7)</f>
        <v/>
      </c>
      <c r="AE23">
        <f>IF(Datos!A23="","",SQRT(SUMXMY2(X23:AC23,$X$303:$AC$303)))</f>
        <v/>
      </c>
      <c r="AF23">
        <f>IF(Datos!A23="","",SQRT(SUMXMY2(X23:AC23,$X$304:$AC$304)))</f>
        <v/>
      </c>
      <c r="AG23" s="11">
        <f>IF(Datos!A23="","",IF(AE23+AF23&lt;0.000000001,0.5,AF23/(AE23+AF23)))</f>
        <v/>
      </c>
      <c r="AH23">
        <f>IF(Datos!A23="","",AG23*MAX(C23*D23,1))</f>
        <v/>
      </c>
      <c r="AI23">
        <f>IF(Datos!A23="","",SUMIF($AH$2:$AH$301,"&gt;="&amp;AH23,$AH$2:$AH$301)/SUM($AH$2:$AH$301))</f>
        <v/>
      </c>
      <c r="AJ23" s="12">
        <f>IF(Datos!A23="","",IF(AI23&lt;=Parametros!$B$13,"A",IF(AI23&lt;=Parametros!$B$14,"B","C")))</f>
        <v/>
      </c>
      <c r="AK23" s="13">
        <f>IF(Datos!A23="","",VLOOKUP(AJ23,Parametros!$A$8:$C$10,2,FALSE))</f>
        <v/>
      </c>
      <c r="AL23">
        <f>IF(Datos!A23="","",VLOOKUP(AJ23,Parametros!$A$8:$C$10,3,FALSE))</f>
        <v/>
      </c>
      <c r="AM23">
        <f>IF(Datos!A23="","",NORMSINV(AK23))</f>
        <v/>
      </c>
      <c r="AN23">
        <f>IF(Datos!A23="","",D23/Parametros!$B$4)</f>
        <v/>
      </c>
      <c r="AO23">
        <f>IF(Datos!A23="","",MAX(0,ROUNDUP(AM23*(AN23*Parametros!$B$3)*SQRT((AL23+E23)),0)))</f>
        <v/>
      </c>
      <c r="AP23">
        <f>IF(Datos!A23="","",MAX(1,ROUNDUP(AN23*(AL23+E23)+AM23*(AN23*Parametros!$B$3)*SQRT((AL23+E23)),0)))</f>
        <v/>
      </c>
      <c r="AQ23">
        <f>IF(Datos!A23="","",IF(Datos!J23="","",Datos!J23))</f>
        <v/>
      </c>
      <c r="AR23">
        <f>IF(OR(Datos!A23="",AQ23=""),"",MAX(0,AQ23-AP23))</f>
        <v/>
      </c>
      <c r="AS23" s="10">
        <f>IF(OR(Datos!A23="",AQ23=""),"",AR23*C23)</f>
        <v/>
      </c>
      <c r="AT23" s="12">
        <f>IF(OR(Datos!A23="",AQ23=""),"",IF(AQ23&lt;AO23,"SI",""))</f>
        <v/>
      </c>
      <c r="AU23">
        <f>IF(Datos!A23="","",IF(AT23="SI","Reponer ahora",IF(AND(AQ23&lt;&gt;"",AR23&gt;0),"Bajar "&amp;TEXT(AR23,"#,##0")&amp;" un.","En rango")))</f>
        <v/>
      </c>
    </row>
    <row r="24">
      <c r="A24">
        <f>IF(Datos!A24="","",Datos!A24)</f>
        <v/>
      </c>
      <c r="B24">
        <f>IF(Datos!A24="","",Datos!B24)</f>
        <v/>
      </c>
      <c r="C24">
        <f>IF(Datos!A24="","",IFERROR(MAX(0,N(Datos!D24)),0))</f>
        <v/>
      </c>
      <c r="D24">
        <f>IF(Datos!A24="","",IFERROR(MAX(0,N(Datos!E24)),0))</f>
        <v/>
      </c>
      <c r="E24">
        <f>IF(Datos!A24="","",IFERROR(MAX(0,N(Datos!F24)),0))</f>
        <v/>
      </c>
      <c r="F24">
        <f>IF(Datos!A24="","",IFERROR(MAX(0,N(Datos!G24)),0))</f>
        <v/>
      </c>
      <c r="G24">
        <f>IF(Datos!A24="","",IFERROR(MAX(0,N(Datos!H24)),0))</f>
        <v/>
      </c>
      <c r="H24">
        <f>IF(Datos!A24="","",IFERROR(MAX(0,N(Datos!I24)),0))</f>
        <v/>
      </c>
      <c r="J24">
        <f>IF(Datos!A24="","",IF(MAX(C$2:C$301)-MIN(C$2:C$301)&lt;0.000000001,0.5,(C24-MIN(C$2:C$301))/(MAX(C$2:C$301)-MIN(C$2:C$301)))+0.000000001)</f>
        <v/>
      </c>
      <c r="K24">
        <f>IF(Datos!A24="","",IF(MAX(D$2:D$301)-MIN(D$2:D$301)&lt;0.000000001,0.5,(D24-MIN(D$2:D$301))/(MAX(D$2:D$301)-MIN(D$2:D$301)))+0.000000001)</f>
        <v/>
      </c>
      <c r="L24">
        <f>IF(Datos!A24="","",IF(MAX(E$2:E$301)-MIN(E$2:E$301)&lt;0.000000001,0.5,(E24-MIN(E$2:E$301))/(MAX(E$2:E$301)-MIN(E$2:E$301)))+0.000000001)</f>
        <v/>
      </c>
      <c r="M24">
        <f>IF(Datos!A24="","",IF(MAX(F$2:F$301)-MIN(F$2:F$301)&lt;0.000000001,0.5,(F24-MIN(F$2:F$301))/(MAX(F$2:F$301)-MIN(F$2:F$301)))+0.000000001)</f>
        <v/>
      </c>
      <c r="N24">
        <f>IF(Datos!A24="","",IF(MAX(G$2:G$301)-MIN(G$2:G$301)&lt;0.000000001,0.5,(G24-MIN(G$2:G$301))/(MAX(G$2:G$301)-MIN(G$2:G$301)))+0.000000001)</f>
        <v/>
      </c>
      <c r="O24">
        <f>IF(Datos!A24="","",IF(MAX(H$2:H$301)-MIN(H$2:H$301)&lt;0.000000001,0.5,(H24-MIN(H$2:H$301))/(MAX(H$2:H$301)-MIN(H$2:H$301)))+0.000000001)</f>
        <v/>
      </c>
      <c r="Q24">
        <f>IF(Datos!A24="","",(J24/SUM(J$2:J$301))*LN(J24/SUM(J$2:J$301)))</f>
        <v/>
      </c>
      <c r="R24">
        <f>IF(Datos!A24="","",(K24/SUM(K$2:K$301))*LN(K24/SUM(K$2:K$301)))</f>
        <v/>
      </c>
      <c r="S24">
        <f>IF(Datos!A24="","",(L24/SUM(L$2:L$301))*LN(L24/SUM(L$2:L$301)))</f>
        <v/>
      </c>
      <c r="T24">
        <f>IF(Datos!A24="","",(M24/SUM(M$2:M$301))*LN(M24/SUM(M$2:M$301)))</f>
        <v/>
      </c>
      <c r="U24">
        <f>IF(Datos!A24="","",(N24/SUM(N$2:N$301))*LN(N24/SUM(N$2:N$301)))</f>
        <v/>
      </c>
      <c r="V24">
        <f>IF(Datos!A24="","",(O24/SUM(O$2:O$301))*LN(O24/SUM(O$2:O$301)))</f>
        <v/>
      </c>
      <c r="X24">
        <f>IF(Datos!A24="","",IF(SUMSQ(C$2:C$301)=0,0,C24/SQRT(SUMSQ(C$2:C$301)))*$BE$2)</f>
        <v/>
      </c>
      <c r="Y24">
        <f>IF(Datos!A24="","",IF(SUMSQ(D$2:D$301)=0,0,D24/SQRT(SUMSQ(D$2:D$301)))*$BE$3)</f>
        <v/>
      </c>
      <c r="Z24">
        <f>IF(Datos!A24="","",IF(SUMSQ(E$2:E$301)=0,0,E24/SQRT(SUMSQ(E$2:E$301)))*$BE$4)</f>
        <v/>
      </c>
      <c r="AA24">
        <f>IF(Datos!A24="","",IF(SUMSQ(F$2:F$301)=0,0,F24/SQRT(SUMSQ(F$2:F$301)))*$BE$5)</f>
        <v/>
      </c>
      <c r="AB24">
        <f>IF(Datos!A24="","",IF(SUMSQ(G$2:G$301)=0,0,G24/SQRT(SUMSQ(G$2:G$301)))*$BE$6)</f>
        <v/>
      </c>
      <c r="AC24">
        <f>IF(Datos!A24="","",IF(SUMSQ(H$2:H$301)=0,0,H24/SQRT(SUMSQ(H$2:H$301)))*$BE$7)</f>
        <v/>
      </c>
      <c r="AE24">
        <f>IF(Datos!A24="","",SQRT(SUMXMY2(X24:AC24,$X$303:$AC$303)))</f>
        <v/>
      </c>
      <c r="AF24">
        <f>IF(Datos!A24="","",SQRT(SUMXMY2(X24:AC24,$X$304:$AC$304)))</f>
        <v/>
      </c>
      <c r="AG24" s="11">
        <f>IF(Datos!A24="","",IF(AE24+AF24&lt;0.000000001,0.5,AF24/(AE24+AF24)))</f>
        <v/>
      </c>
      <c r="AH24">
        <f>IF(Datos!A24="","",AG24*MAX(C24*D24,1))</f>
        <v/>
      </c>
      <c r="AI24">
        <f>IF(Datos!A24="","",SUMIF($AH$2:$AH$301,"&gt;="&amp;AH24,$AH$2:$AH$301)/SUM($AH$2:$AH$301))</f>
        <v/>
      </c>
      <c r="AJ24" s="12">
        <f>IF(Datos!A24="","",IF(AI24&lt;=Parametros!$B$13,"A",IF(AI24&lt;=Parametros!$B$14,"B","C")))</f>
        <v/>
      </c>
      <c r="AK24" s="13">
        <f>IF(Datos!A24="","",VLOOKUP(AJ24,Parametros!$A$8:$C$10,2,FALSE))</f>
        <v/>
      </c>
      <c r="AL24">
        <f>IF(Datos!A24="","",VLOOKUP(AJ24,Parametros!$A$8:$C$10,3,FALSE))</f>
        <v/>
      </c>
      <c r="AM24">
        <f>IF(Datos!A24="","",NORMSINV(AK24))</f>
        <v/>
      </c>
      <c r="AN24">
        <f>IF(Datos!A24="","",D24/Parametros!$B$4)</f>
        <v/>
      </c>
      <c r="AO24">
        <f>IF(Datos!A24="","",MAX(0,ROUNDUP(AM24*(AN24*Parametros!$B$3)*SQRT((AL24+E24)),0)))</f>
        <v/>
      </c>
      <c r="AP24">
        <f>IF(Datos!A24="","",MAX(1,ROUNDUP(AN24*(AL24+E24)+AM24*(AN24*Parametros!$B$3)*SQRT((AL24+E24)),0)))</f>
        <v/>
      </c>
      <c r="AQ24">
        <f>IF(Datos!A24="","",IF(Datos!J24="","",Datos!J24))</f>
        <v/>
      </c>
      <c r="AR24">
        <f>IF(OR(Datos!A24="",AQ24=""),"",MAX(0,AQ24-AP24))</f>
        <v/>
      </c>
      <c r="AS24" s="10">
        <f>IF(OR(Datos!A24="",AQ24=""),"",AR24*C24)</f>
        <v/>
      </c>
      <c r="AT24" s="12">
        <f>IF(OR(Datos!A24="",AQ24=""),"",IF(AQ24&lt;AO24,"SI",""))</f>
        <v/>
      </c>
      <c r="AU24">
        <f>IF(Datos!A24="","",IF(AT24="SI","Reponer ahora",IF(AND(AQ24&lt;&gt;"",AR24&gt;0),"Bajar "&amp;TEXT(AR24,"#,##0")&amp;" un.","En rango")))</f>
        <v/>
      </c>
    </row>
    <row r="25">
      <c r="A25">
        <f>IF(Datos!A25="","",Datos!A25)</f>
        <v/>
      </c>
      <c r="B25">
        <f>IF(Datos!A25="","",Datos!B25)</f>
        <v/>
      </c>
      <c r="C25">
        <f>IF(Datos!A25="","",IFERROR(MAX(0,N(Datos!D25)),0))</f>
        <v/>
      </c>
      <c r="D25">
        <f>IF(Datos!A25="","",IFERROR(MAX(0,N(Datos!E25)),0))</f>
        <v/>
      </c>
      <c r="E25">
        <f>IF(Datos!A25="","",IFERROR(MAX(0,N(Datos!F25)),0))</f>
        <v/>
      </c>
      <c r="F25">
        <f>IF(Datos!A25="","",IFERROR(MAX(0,N(Datos!G25)),0))</f>
        <v/>
      </c>
      <c r="G25">
        <f>IF(Datos!A25="","",IFERROR(MAX(0,N(Datos!H25)),0))</f>
        <v/>
      </c>
      <c r="H25">
        <f>IF(Datos!A25="","",IFERROR(MAX(0,N(Datos!I25)),0))</f>
        <v/>
      </c>
      <c r="J25">
        <f>IF(Datos!A25="","",IF(MAX(C$2:C$301)-MIN(C$2:C$301)&lt;0.000000001,0.5,(C25-MIN(C$2:C$301))/(MAX(C$2:C$301)-MIN(C$2:C$301)))+0.000000001)</f>
        <v/>
      </c>
      <c r="K25">
        <f>IF(Datos!A25="","",IF(MAX(D$2:D$301)-MIN(D$2:D$301)&lt;0.000000001,0.5,(D25-MIN(D$2:D$301))/(MAX(D$2:D$301)-MIN(D$2:D$301)))+0.000000001)</f>
        <v/>
      </c>
      <c r="L25">
        <f>IF(Datos!A25="","",IF(MAX(E$2:E$301)-MIN(E$2:E$301)&lt;0.000000001,0.5,(E25-MIN(E$2:E$301))/(MAX(E$2:E$301)-MIN(E$2:E$301)))+0.000000001)</f>
        <v/>
      </c>
      <c r="M25">
        <f>IF(Datos!A25="","",IF(MAX(F$2:F$301)-MIN(F$2:F$301)&lt;0.000000001,0.5,(F25-MIN(F$2:F$301))/(MAX(F$2:F$301)-MIN(F$2:F$301)))+0.000000001)</f>
        <v/>
      </c>
      <c r="N25">
        <f>IF(Datos!A25="","",IF(MAX(G$2:G$301)-MIN(G$2:G$301)&lt;0.000000001,0.5,(G25-MIN(G$2:G$301))/(MAX(G$2:G$301)-MIN(G$2:G$301)))+0.000000001)</f>
        <v/>
      </c>
      <c r="O25">
        <f>IF(Datos!A25="","",IF(MAX(H$2:H$301)-MIN(H$2:H$301)&lt;0.000000001,0.5,(H25-MIN(H$2:H$301))/(MAX(H$2:H$301)-MIN(H$2:H$301)))+0.000000001)</f>
        <v/>
      </c>
      <c r="Q25">
        <f>IF(Datos!A25="","",(J25/SUM(J$2:J$301))*LN(J25/SUM(J$2:J$301)))</f>
        <v/>
      </c>
      <c r="R25">
        <f>IF(Datos!A25="","",(K25/SUM(K$2:K$301))*LN(K25/SUM(K$2:K$301)))</f>
        <v/>
      </c>
      <c r="S25">
        <f>IF(Datos!A25="","",(L25/SUM(L$2:L$301))*LN(L25/SUM(L$2:L$301)))</f>
        <v/>
      </c>
      <c r="T25">
        <f>IF(Datos!A25="","",(M25/SUM(M$2:M$301))*LN(M25/SUM(M$2:M$301)))</f>
        <v/>
      </c>
      <c r="U25">
        <f>IF(Datos!A25="","",(N25/SUM(N$2:N$301))*LN(N25/SUM(N$2:N$301)))</f>
        <v/>
      </c>
      <c r="V25">
        <f>IF(Datos!A25="","",(O25/SUM(O$2:O$301))*LN(O25/SUM(O$2:O$301)))</f>
        <v/>
      </c>
      <c r="X25">
        <f>IF(Datos!A25="","",IF(SUMSQ(C$2:C$301)=0,0,C25/SQRT(SUMSQ(C$2:C$301)))*$BE$2)</f>
        <v/>
      </c>
      <c r="Y25">
        <f>IF(Datos!A25="","",IF(SUMSQ(D$2:D$301)=0,0,D25/SQRT(SUMSQ(D$2:D$301)))*$BE$3)</f>
        <v/>
      </c>
      <c r="Z25">
        <f>IF(Datos!A25="","",IF(SUMSQ(E$2:E$301)=0,0,E25/SQRT(SUMSQ(E$2:E$301)))*$BE$4)</f>
        <v/>
      </c>
      <c r="AA25">
        <f>IF(Datos!A25="","",IF(SUMSQ(F$2:F$301)=0,0,F25/SQRT(SUMSQ(F$2:F$301)))*$BE$5)</f>
        <v/>
      </c>
      <c r="AB25">
        <f>IF(Datos!A25="","",IF(SUMSQ(G$2:G$301)=0,0,G25/SQRT(SUMSQ(G$2:G$301)))*$BE$6)</f>
        <v/>
      </c>
      <c r="AC25">
        <f>IF(Datos!A25="","",IF(SUMSQ(H$2:H$301)=0,0,H25/SQRT(SUMSQ(H$2:H$301)))*$BE$7)</f>
        <v/>
      </c>
      <c r="AE25">
        <f>IF(Datos!A25="","",SQRT(SUMXMY2(X25:AC25,$X$303:$AC$303)))</f>
        <v/>
      </c>
      <c r="AF25">
        <f>IF(Datos!A25="","",SQRT(SUMXMY2(X25:AC25,$X$304:$AC$304)))</f>
        <v/>
      </c>
      <c r="AG25" s="11">
        <f>IF(Datos!A25="","",IF(AE25+AF25&lt;0.000000001,0.5,AF25/(AE25+AF25)))</f>
        <v/>
      </c>
      <c r="AH25">
        <f>IF(Datos!A25="","",AG25*MAX(C25*D25,1))</f>
        <v/>
      </c>
      <c r="AI25">
        <f>IF(Datos!A25="","",SUMIF($AH$2:$AH$301,"&gt;="&amp;AH25,$AH$2:$AH$301)/SUM($AH$2:$AH$301))</f>
        <v/>
      </c>
      <c r="AJ25" s="12">
        <f>IF(Datos!A25="","",IF(AI25&lt;=Parametros!$B$13,"A",IF(AI25&lt;=Parametros!$B$14,"B","C")))</f>
        <v/>
      </c>
      <c r="AK25" s="13">
        <f>IF(Datos!A25="","",VLOOKUP(AJ25,Parametros!$A$8:$C$10,2,FALSE))</f>
        <v/>
      </c>
      <c r="AL25">
        <f>IF(Datos!A25="","",VLOOKUP(AJ25,Parametros!$A$8:$C$10,3,FALSE))</f>
        <v/>
      </c>
      <c r="AM25">
        <f>IF(Datos!A25="","",NORMSINV(AK25))</f>
        <v/>
      </c>
      <c r="AN25">
        <f>IF(Datos!A25="","",D25/Parametros!$B$4)</f>
        <v/>
      </c>
      <c r="AO25">
        <f>IF(Datos!A25="","",MAX(0,ROUNDUP(AM25*(AN25*Parametros!$B$3)*SQRT((AL25+E25)),0)))</f>
        <v/>
      </c>
      <c r="AP25">
        <f>IF(Datos!A25="","",MAX(1,ROUNDUP(AN25*(AL25+E25)+AM25*(AN25*Parametros!$B$3)*SQRT((AL25+E25)),0)))</f>
        <v/>
      </c>
      <c r="AQ25">
        <f>IF(Datos!A25="","",IF(Datos!J25="","",Datos!J25))</f>
        <v/>
      </c>
      <c r="AR25">
        <f>IF(OR(Datos!A25="",AQ25=""),"",MAX(0,AQ25-AP25))</f>
        <v/>
      </c>
      <c r="AS25" s="10">
        <f>IF(OR(Datos!A25="",AQ25=""),"",AR25*C25)</f>
        <v/>
      </c>
      <c r="AT25" s="12">
        <f>IF(OR(Datos!A25="",AQ25=""),"",IF(AQ25&lt;AO25,"SI",""))</f>
        <v/>
      </c>
      <c r="AU25">
        <f>IF(Datos!A25="","",IF(AT25="SI","Reponer ahora",IF(AND(AQ25&lt;&gt;"",AR25&gt;0),"Bajar "&amp;TEXT(AR25,"#,##0")&amp;" un.","En rango")))</f>
        <v/>
      </c>
    </row>
    <row r="26">
      <c r="A26">
        <f>IF(Datos!A26="","",Datos!A26)</f>
        <v/>
      </c>
      <c r="B26">
        <f>IF(Datos!A26="","",Datos!B26)</f>
        <v/>
      </c>
      <c r="C26">
        <f>IF(Datos!A26="","",IFERROR(MAX(0,N(Datos!D26)),0))</f>
        <v/>
      </c>
      <c r="D26">
        <f>IF(Datos!A26="","",IFERROR(MAX(0,N(Datos!E26)),0))</f>
        <v/>
      </c>
      <c r="E26">
        <f>IF(Datos!A26="","",IFERROR(MAX(0,N(Datos!F26)),0))</f>
        <v/>
      </c>
      <c r="F26">
        <f>IF(Datos!A26="","",IFERROR(MAX(0,N(Datos!G26)),0))</f>
        <v/>
      </c>
      <c r="G26">
        <f>IF(Datos!A26="","",IFERROR(MAX(0,N(Datos!H26)),0))</f>
        <v/>
      </c>
      <c r="H26">
        <f>IF(Datos!A26="","",IFERROR(MAX(0,N(Datos!I26)),0))</f>
        <v/>
      </c>
      <c r="J26">
        <f>IF(Datos!A26="","",IF(MAX(C$2:C$301)-MIN(C$2:C$301)&lt;0.000000001,0.5,(C26-MIN(C$2:C$301))/(MAX(C$2:C$301)-MIN(C$2:C$301)))+0.000000001)</f>
        <v/>
      </c>
      <c r="K26">
        <f>IF(Datos!A26="","",IF(MAX(D$2:D$301)-MIN(D$2:D$301)&lt;0.000000001,0.5,(D26-MIN(D$2:D$301))/(MAX(D$2:D$301)-MIN(D$2:D$301)))+0.000000001)</f>
        <v/>
      </c>
      <c r="L26">
        <f>IF(Datos!A26="","",IF(MAX(E$2:E$301)-MIN(E$2:E$301)&lt;0.000000001,0.5,(E26-MIN(E$2:E$301))/(MAX(E$2:E$301)-MIN(E$2:E$301)))+0.000000001)</f>
        <v/>
      </c>
      <c r="M26">
        <f>IF(Datos!A26="","",IF(MAX(F$2:F$301)-MIN(F$2:F$301)&lt;0.000000001,0.5,(F26-MIN(F$2:F$301))/(MAX(F$2:F$301)-MIN(F$2:F$301)))+0.000000001)</f>
        <v/>
      </c>
      <c r="N26">
        <f>IF(Datos!A26="","",IF(MAX(G$2:G$301)-MIN(G$2:G$301)&lt;0.000000001,0.5,(G26-MIN(G$2:G$301))/(MAX(G$2:G$301)-MIN(G$2:G$301)))+0.000000001)</f>
        <v/>
      </c>
      <c r="O26">
        <f>IF(Datos!A26="","",IF(MAX(H$2:H$301)-MIN(H$2:H$301)&lt;0.000000001,0.5,(H26-MIN(H$2:H$301))/(MAX(H$2:H$301)-MIN(H$2:H$301)))+0.000000001)</f>
        <v/>
      </c>
      <c r="Q26">
        <f>IF(Datos!A26="","",(J26/SUM(J$2:J$301))*LN(J26/SUM(J$2:J$301)))</f>
        <v/>
      </c>
      <c r="R26">
        <f>IF(Datos!A26="","",(K26/SUM(K$2:K$301))*LN(K26/SUM(K$2:K$301)))</f>
        <v/>
      </c>
      <c r="S26">
        <f>IF(Datos!A26="","",(L26/SUM(L$2:L$301))*LN(L26/SUM(L$2:L$301)))</f>
        <v/>
      </c>
      <c r="T26">
        <f>IF(Datos!A26="","",(M26/SUM(M$2:M$301))*LN(M26/SUM(M$2:M$301)))</f>
        <v/>
      </c>
      <c r="U26">
        <f>IF(Datos!A26="","",(N26/SUM(N$2:N$301))*LN(N26/SUM(N$2:N$301)))</f>
        <v/>
      </c>
      <c r="V26">
        <f>IF(Datos!A26="","",(O26/SUM(O$2:O$301))*LN(O26/SUM(O$2:O$301)))</f>
        <v/>
      </c>
      <c r="X26">
        <f>IF(Datos!A26="","",IF(SUMSQ(C$2:C$301)=0,0,C26/SQRT(SUMSQ(C$2:C$301)))*$BE$2)</f>
        <v/>
      </c>
      <c r="Y26">
        <f>IF(Datos!A26="","",IF(SUMSQ(D$2:D$301)=0,0,D26/SQRT(SUMSQ(D$2:D$301)))*$BE$3)</f>
        <v/>
      </c>
      <c r="Z26">
        <f>IF(Datos!A26="","",IF(SUMSQ(E$2:E$301)=0,0,E26/SQRT(SUMSQ(E$2:E$301)))*$BE$4)</f>
        <v/>
      </c>
      <c r="AA26">
        <f>IF(Datos!A26="","",IF(SUMSQ(F$2:F$301)=0,0,F26/SQRT(SUMSQ(F$2:F$301)))*$BE$5)</f>
        <v/>
      </c>
      <c r="AB26">
        <f>IF(Datos!A26="","",IF(SUMSQ(G$2:G$301)=0,0,G26/SQRT(SUMSQ(G$2:G$301)))*$BE$6)</f>
        <v/>
      </c>
      <c r="AC26">
        <f>IF(Datos!A26="","",IF(SUMSQ(H$2:H$301)=0,0,H26/SQRT(SUMSQ(H$2:H$301)))*$BE$7)</f>
        <v/>
      </c>
      <c r="AE26">
        <f>IF(Datos!A26="","",SQRT(SUMXMY2(X26:AC26,$X$303:$AC$303)))</f>
        <v/>
      </c>
      <c r="AF26">
        <f>IF(Datos!A26="","",SQRT(SUMXMY2(X26:AC26,$X$304:$AC$304)))</f>
        <v/>
      </c>
      <c r="AG26" s="11">
        <f>IF(Datos!A26="","",IF(AE26+AF26&lt;0.000000001,0.5,AF26/(AE26+AF26)))</f>
        <v/>
      </c>
      <c r="AH26">
        <f>IF(Datos!A26="","",AG26*MAX(C26*D26,1))</f>
        <v/>
      </c>
      <c r="AI26">
        <f>IF(Datos!A26="","",SUMIF($AH$2:$AH$301,"&gt;="&amp;AH26,$AH$2:$AH$301)/SUM($AH$2:$AH$301))</f>
        <v/>
      </c>
      <c r="AJ26" s="12">
        <f>IF(Datos!A26="","",IF(AI26&lt;=Parametros!$B$13,"A",IF(AI26&lt;=Parametros!$B$14,"B","C")))</f>
        <v/>
      </c>
      <c r="AK26" s="13">
        <f>IF(Datos!A26="","",VLOOKUP(AJ26,Parametros!$A$8:$C$10,2,FALSE))</f>
        <v/>
      </c>
      <c r="AL26">
        <f>IF(Datos!A26="","",VLOOKUP(AJ26,Parametros!$A$8:$C$10,3,FALSE))</f>
        <v/>
      </c>
      <c r="AM26">
        <f>IF(Datos!A26="","",NORMSINV(AK26))</f>
        <v/>
      </c>
      <c r="AN26">
        <f>IF(Datos!A26="","",D26/Parametros!$B$4)</f>
        <v/>
      </c>
      <c r="AO26">
        <f>IF(Datos!A26="","",MAX(0,ROUNDUP(AM26*(AN26*Parametros!$B$3)*SQRT((AL26+E26)),0)))</f>
        <v/>
      </c>
      <c r="AP26">
        <f>IF(Datos!A26="","",MAX(1,ROUNDUP(AN26*(AL26+E26)+AM26*(AN26*Parametros!$B$3)*SQRT((AL26+E26)),0)))</f>
        <v/>
      </c>
      <c r="AQ26">
        <f>IF(Datos!A26="","",IF(Datos!J26="","",Datos!J26))</f>
        <v/>
      </c>
      <c r="AR26">
        <f>IF(OR(Datos!A26="",AQ26=""),"",MAX(0,AQ26-AP26))</f>
        <v/>
      </c>
      <c r="AS26" s="10">
        <f>IF(OR(Datos!A26="",AQ26=""),"",AR26*C26)</f>
        <v/>
      </c>
      <c r="AT26" s="12">
        <f>IF(OR(Datos!A26="",AQ26=""),"",IF(AQ26&lt;AO26,"SI",""))</f>
        <v/>
      </c>
      <c r="AU26">
        <f>IF(Datos!A26="","",IF(AT26="SI","Reponer ahora",IF(AND(AQ26&lt;&gt;"",AR26&gt;0),"Bajar "&amp;TEXT(AR26,"#,##0")&amp;" un.","En rango")))</f>
        <v/>
      </c>
    </row>
    <row r="27">
      <c r="A27">
        <f>IF(Datos!A27="","",Datos!A27)</f>
        <v/>
      </c>
      <c r="B27">
        <f>IF(Datos!A27="","",Datos!B27)</f>
        <v/>
      </c>
      <c r="C27">
        <f>IF(Datos!A27="","",IFERROR(MAX(0,N(Datos!D27)),0))</f>
        <v/>
      </c>
      <c r="D27">
        <f>IF(Datos!A27="","",IFERROR(MAX(0,N(Datos!E27)),0))</f>
        <v/>
      </c>
      <c r="E27">
        <f>IF(Datos!A27="","",IFERROR(MAX(0,N(Datos!F27)),0))</f>
        <v/>
      </c>
      <c r="F27">
        <f>IF(Datos!A27="","",IFERROR(MAX(0,N(Datos!G27)),0))</f>
        <v/>
      </c>
      <c r="G27">
        <f>IF(Datos!A27="","",IFERROR(MAX(0,N(Datos!H27)),0))</f>
        <v/>
      </c>
      <c r="H27">
        <f>IF(Datos!A27="","",IFERROR(MAX(0,N(Datos!I27)),0))</f>
        <v/>
      </c>
      <c r="J27">
        <f>IF(Datos!A27="","",IF(MAX(C$2:C$301)-MIN(C$2:C$301)&lt;0.000000001,0.5,(C27-MIN(C$2:C$301))/(MAX(C$2:C$301)-MIN(C$2:C$301)))+0.000000001)</f>
        <v/>
      </c>
      <c r="K27">
        <f>IF(Datos!A27="","",IF(MAX(D$2:D$301)-MIN(D$2:D$301)&lt;0.000000001,0.5,(D27-MIN(D$2:D$301))/(MAX(D$2:D$301)-MIN(D$2:D$301)))+0.000000001)</f>
        <v/>
      </c>
      <c r="L27">
        <f>IF(Datos!A27="","",IF(MAX(E$2:E$301)-MIN(E$2:E$301)&lt;0.000000001,0.5,(E27-MIN(E$2:E$301))/(MAX(E$2:E$301)-MIN(E$2:E$301)))+0.000000001)</f>
        <v/>
      </c>
      <c r="M27">
        <f>IF(Datos!A27="","",IF(MAX(F$2:F$301)-MIN(F$2:F$301)&lt;0.000000001,0.5,(F27-MIN(F$2:F$301))/(MAX(F$2:F$301)-MIN(F$2:F$301)))+0.000000001)</f>
        <v/>
      </c>
      <c r="N27">
        <f>IF(Datos!A27="","",IF(MAX(G$2:G$301)-MIN(G$2:G$301)&lt;0.000000001,0.5,(G27-MIN(G$2:G$301))/(MAX(G$2:G$301)-MIN(G$2:G$301)))+0.000000001)</f>
        <v/>
      </c>
      <c r="O27">
        <f>IF(Datos!A27="","",IF(MAX(H$2:H$301)-MIN(H$2:H$301)&lt;0.000000001,0.5,(H27-MIN(H$2:H$301))/(MAX(H$2:H$301)-MIN(H$2:H$301)))+0.000000001)</f>
        <v/>
      </c>
      <c r="Q27">
        <f>IF(Datos!A27="","",(J27/SUM(J$2:J$301))*LN(J27/SUM(J$2:J$301)))</f>
        <v/>
      </c>
      <c r="R27">
        <f>IF(Datos!A27="","",(K27/SUM(K$2:K$301))*LN(K27/SUM(K$2:K$301)))</f>
        <v/>
      </c>
      <c r="S27">
        <f>IF(Datos!A27="","",(L27/SUM(L$2:L$301))*LN(L27/SUM(L$2:L$301)))</f>
        <v/>
      </c>
      <c r="T27">
        <f>IF(Datos!A27="","",(M27/SUM(M$2:M$301))*LN(M27/SUM(M$2:M$301)))</f>
        <v/>
      </c>
      <c r="U27">
        <f>IF(Datos!A27="","",(N27/SUM(N$2:N$301))*LN(N27/SUM(N$2:N$301)))</f>
        <v/>
      </c>
      <c r="V27">
        <f>IF(Datos!A27="","",(O27/SUM(O$2:O$301))*LN(O27/SUM(O$2:O$301)))</f>
        <v/>
      </c>
      <c r="X27">
        <f>IF(Datos!A27="","",IF(SUMSQ(C$2:C$301)=0,0,C27/SQRT(SUMSQ(C$2:C$301)))*$BE$2)</f>
        <v/>
      </c>
      <c r="Y27">
        <f>IF(Datos!A27="","",IF(SUMSQ(D$2:D$301)=0,0,D27/SQRT(SUMSQ(D$2:D$301)))*$BE$3)</f>
        <v/>
      </c>
      <c r="Z27">
        <f>IF(Datos!A27="","",IF(SUMSQ(E$2:E$301)=0,0,E27/SQRT(SUMSQ(E$2:E$301)))*$BE$4)</f>
        <v/>
      </c>
      <c r="AA27">
        <f>IF(Datos!A27="","",IF(SUMSQ(F$2:F$301)=0,0,F27/SQRT(SUMSQ(F$2:F$301)))*$BE$5)</f>
        <v/>
      </c>
      <c r="AB27">
        <f>IF(Datos!A27="","",IF(SUMSQ(G$2:G$301)=0,0,G27/SQRT(SUMSQ(G$2:G$301)))*$BE$6)</f>
        <v/>
      </c>
      <c r="AC27">
        <f>IF(Datos!A27="","",IF(SUMSQ(H$2:H$301)=0,0,H27/SQRT(SUMSQ(H$2:H$301)))*$BE$7)</f>
        <v/>
      </c>
      <c r="AE27">
        <f>IF(Datos!A27="","",SQRT(SUMXMY2(X27:AC27,$X$303:$AC$303)))</f>
        <v/>
      </c>
      <c r="AF27">
        <f>IF(Datos!A27="","",SQRT(SUMXMY2(X27:AC27,$X$304:$AC$304)))</f>
        <v/>
      </c>
      <c r="AG27" s="11">
        <f>IF(Datos!A27="","",IF(AE27+AF27&lt;0.000000001,0.5,AF27/(AE27+AF27)))</f>
        <v/>
      </c>
      <c r="AH27">
        <f>IF(Datos!A27="","",AG27*MAX(C27*D27,1))</f>
        <v/>
      </c>
      <c r="AI27">
        <f>IF(Datos!A27="","",SUMIF($AH$2:$AH$301,"&gt;="&amp;AH27,$AH$2:$AH$301)/SUM($AH$2:$AH$301))</f>
        <v/>
      </c>
      <c r="AJ27" s="12">
        <f>IF(Datos!A27="","",IF(AI27&lt;=Parametros!$B$13,"A",IF(AI27&lt;=Parametros!$B$14,"B","C")))</f>
        <v/>
      </c>
      <c r="AK27" s="13">
        <f>IF(Datos!A27="","",VLOOKUP(AJ27,Parametros!$A$8:$C$10,2,FALSE))</f>
        <v/>
      </c>
      <c r="AL27">
        <f>IF(Datos!A27="","",VLOOKUP(AJ27,Parametros!$A$8:$C$10,3,FALSE))</f>
        <v/>
      </c>
      <c r="AM27">
        <f>IF(Datos!A27="","",NORMSINV(AK27))</f>
        <v/>
      </c>
      <c r="AN27">
        <f>IF(Datos!A27="","",D27/Parametros!$B$4)</f>
        <v/>
      </c>
      <c r="AO27">
        <f>IF(Datos!A27="","",MAX(0,ROUNDUP(AM27*(AN27*Parametros!$B$3)*SQRT((AL27+E27)),0)))</f>
        <v/>
      </c>
      <c r="AP27">
        <f>IF(Datos!A27="","",MAX(1,ROUNDUP(AN27*(AL27+E27)+AM27*(AN27*Parametros!$B$3)*SQRT((AL27+E27)),0)))</f>
        <v/>
      </c>
      <c r="AQ27">
        <f>IF(Datos!A27="","",IF(Datos!J27="","",Datos!J27))</f>
        <v/>
      </c>
      <c r="AR27">
        <f>IF(OR(Datos!A27="",AQ27=""),"",MAX(0,AQ27-AP27))</f>
        <v/>
      </c>
      <c r="AS27" s="10">
        <f>IF(OR(Datos!A27="",AQ27=""),"",AR27*C27)</f>
        <v/>
      </c>
      <c r="AT27" s="12">
        <f>IF(OR(Datos!A27="",AQ27=""),"",IF(AQ27&lt;AO27,"SI",""))</f>
        <v/>
      </c>
      <c r="AU27">
        <f>IF(Datos!A27="","",IF(AT27="SI","Reponer ahora",IF(AND(AQ27&lt;&gt;"",AR27&gt;0),"Bajar "&amp;TEXT(AR27,"#,##0")&amp;" un.","En rango")))</f>
        <v/>
      </c>
    </row>
    <row r="28">
      <c r="A28">
        <f>IF(Datos!A28="","",Datos!A28)</f>
        <v/>
      </c>
      <c r="B28">
        <f>IF(Datos!A28="","",Datos!B28)</f>
        <v/>
      </c>
      <c r="C28">
        <f>IF(Datos!A28="","",IFERROR(MAX(0,N(Datos!D28)),0))</f>
        <v/>
      </c>
      <c r="D28">
        <f>IF(Datos!A28="","",IFERROR(MAX(0,N(Datos!E28)),0))</f>
        <v/>
      </c>
      <c r="E28">
        <f>IF(Datos!A28="","",IFERROR(MAX(0,N(Datos!F28)),0))</f>
        <v/>
      </c>
      <c r="F28">
        <f>IF(Datos!A28="","",IFERROR(MAX(0,N(Datos!G28)),0))</f>
        <v/>
      </c>
      <c r="G28">
        <f>IF(Datos!A28="","",IFERROR(MAX(0,N(Datos!H28)),0))</f>
        <v/>
      </c>
      <c r="H28">
        <f>IF(Datos!A28="","",IFERROR(MAX(0,N(Datos!I28)),0))</f>
        <v/>
      </c>
      <c r="J28">
        <f>IF(Datos!A28="","",IF(MAX(C$2:C$301)-MIN(C$2:C$301)&lt;0.000000001,0.5,(C28-MIN(C$2:C$301))/(MAX(C$2:C$301)-MIN(C$2:C$301)))+0.000000001)</f>
        <v/>
      </c>
      <c r="K28">
        <f>IF(Datos!A28="","",IF(MAX(D$2:D$301)-MIN(D$2:D$301)&lt;0.000000001,0.5,(D28-MIN(D$2:D$301))/(MAX(D$2:D$301)-MIN(D$2:D$301)))+0.000000001)</f>
        <v/>
      </c>
      <c r="L28">
        <f>IF(Datos!A28="","",IF(MAX(E$2:E$301)-MIN(E$2:E$301)&lt;0.000000001,0.5,(E28-MIN(E$2:E$301))/(MAX(E$2:E$301)-MIN(E$2:E$301)))+0.000000001)</f>
        <v/>
      </c>
      <c r="M28">
        <f>IF(Datos!A28="","",IF(MAX(F$2:F$301)-MIN(F$2:F$301)&lt;0.000000001,0.5,(F28-MIN(F$2:F$301))/(MAX(F$2:F$301)-MIN(F$2:F$301)))+0.000000001)</f>
        <v/>
      </c>
      <c r="N28">
        <f>IF(Datos!A28="","",IF(MAX(G$2:G$301)-MIN(G$2:G$301)&lt;0.000000001,0.5,(G28-MIN(G$2:G$301))/(MAX(G$2:G$301)-MIN(G$2:G$301)))+0.000000001)</f>
        <v/>
      </c>
      <c r="O28">
        <f>IF(Datos!A28="","",IF(MAX(H$2:H$301)-MIN(H$2:H$301)&lt;0.000000001,0.5,(H28-MIN(H$2:H$301))/(MAX(H$2:H$301)-MIN(H$2:H$301)))+0.000000001)</f>
        <v/>
      </c>
      <c r="Q28">
        <f>IF(Datos!A28="","",(J28/SUM(J$2:J$301))*LN(J28/SUM(J$2:J$301)))</f>
        <v/>
      </c>
      <c r="R28">
        <f>IF(Datos!A28="","",(K28/SUM(K$2:K$301))*LN(K28/SUM(K$2:K$301)))</f>
        <v/>
      </c>
      <c r="S28">
        <f>IF(Datos!A28="","",(L28/SUM(L$2:L$301))*LN(L28/SUM(L$2:L$301)))</f>
        <v/>
      </c>
      <c r="T28">
        <f>IF(Datos!A28="","",(M28/SUM(M$2:M$301))*LN(M28/SUM(M$2:M$301)))</f>
        <v/>
      </c>
      <c r="U28">
        <f>IF(Datos!A28="","",(N28/SUM(N$2:N$301))*LN(N28/SUM(N$2:N$301)))</f>
        <v/>
      </c>
      <c r="V28">
        <f>IF(Datos!A28="","",(O28/SUM(O$2:O$301))*LN(O28/SUM(O$2:O$301)))</f>
        <v/>
      </c>
      <c r="X28">
        <f>IF(Datos!A28="","",IF(SUMSQ(C$2:C$301)=0,0,C28/SQRT(SUMSQ(C$2:C$301)))*$BE$2)</f>
        <v/>
      </c>
      <c r="Y28">
        <f>IF(Datos!A28="","",IF(SUMSQ(D$2:D$301)=0,0,D28/SQRT(SUMSQ(D$2:D$301)))*$BE$3)</f>
        <v/>
      </c>
      <c r="Z28">
        <f>IF(Datos!A28="","",IF(SUMSQ(E$2:E$301)=0,0,E28/SQRT(SUMSQ(E$2:E$301)))*$BE$4)</f>
        <v/>
      </c>
      <c r="AA28">
        <f>IF(Datos!A28="","",IF(SUMSQ(F$2:F$301)=0,0,F28/SQRT(SUMSQ(F$2:F$301)))*$BE$5)</f>
        <v/>
      </c>
      <c r="AB28">
        <f>IF(Datos!A28="","",IF(SUMSQ(G$2:G$301)=0,0,G28/SQRT(SUMSQ(G$2:G$301)))*$BE$6)</f>
        <v/>
      </c>
      <c r="AC28">
        <f>IF(Datos!A28="","",IF(SUMSQ(H$2:H$301)=0,0,H28/SQRT(SUMSQ(H$2:H$301)))*$BE$7)</f>
        <v/>
      </c>
      <c r="AE28">
        <f>IF(Datos!A28="","",SQRT(SUMXMY2(X28:AC28,$X$303:$AC$303)))</f>
        <v/>
      </c>
      <c r="AF28">
        <f>IF(Datos!A28="","",SQRT(SUMXMY2(X28:AC28,$X$304:$AC$304)))</f>
        <v/>
      </c>
      <c r="AG28" s="11">
        <f>IF(Datos!A28="","",IF(AE28+AF28&lt;0.000000001,0.5,AF28/(AE28+AF28)))</f>
        <v/>
      </c>
      <c r="AH28">
        <f>IF(Datos!A28="","",AG28*MAX(C28*D28,1))</f>
        <v/>
      </c>
      <c r="AI28">
        <f>IF(Datos!A28="","",SUMIF($AH$2:$AH$301,"&gt;="&amp;AH28,$AH$2:$AH$301)/SUM($AH$2:$AH$301))</f>
        <v/>
      </c>
      <c r="AJ28" s="12">
        <f>IF(Datos!A28="","",IF(AI28&lt;=Parametros!$B$13,"A",IF(AI28&lt;=Parametros!$B$14,"B","C")))</f>
        <v/>
      </c>
      <c r="AK28" s="13">
        <f>IF(Datos!A28="","",VLOOKUP(AJ28,Parametros!$A$8:$C$10,2,FALSE))</f>
        <v/>
      </c>
      <c r="AL28">
        <f>IF(Datos!A28="","",VLOOKUP(AJ28,Parametros!$A$8:$C$10,3,FALSE))</f>
        <v/>
      </c>
      <c r="AM28">
        <f>IF(Datos!A28="","",NORMSINV(AK28))</f>
        <v/>
      </c>
      <c r="AN28">
        <f>IF(Datos!A28="","",D28/Parametros!$B$4)</f>
        <v/>
      </c>
      <c r="AO28">
        <f>IF(Datos!A28="","",MAX(0,ROUNDUP(AM28*(AN28*Parametros!$B$3)*SQRT((AL28+E28)),0)))</f>
        <v/>
      </c>
      <c r="AP28">
        <f>IF(Datos!A28="","",MAX(1,ROUNDUP(AN28*(AL28+E28)+AM28*(AN28*Parametros!$B$3)*SQRT((AL28+E28)),0)))</f>
        <v/>
      </c>
      <c r="AQ28">
        <f>IF(Datos!A28="","",IF(Datos!J28="","",Datos!J28))</f>
        <v/>
      </c>
      <c r="AR28">
        <f>IF(OR(Datos!A28="",AQ28=""),"",MAX(0,AQ28-AP28))</f>
        <v/>
      </c>
      <c r="AS28" s="10">
        <f>IF(OR(Datos!A28="",AQ28=""),"",AR28*C28)</f>
        <v/>
      </c>
      <c r="AT28" s="12">
        <f>IF(OR(Datos!A28="",AQ28=""),"",IF(AQ28&lt;AO28,"SI",""))</f>
        <v/>
      </c>
      <c r="AU28">
        <f>IF(Datos!A28="","",IF(AT28="SI","Reponer ahora",IF(AND(AQ28&lt;&gt;"",AR28&gt;0),"Bajar "&amp;TEXT(AR28,"#,##0")&amp;" un.","En rango")))</f>
        <v/>
      </c>
    </row>
    <row r="29">
      <c r="A29">
        <f>IF(Datos!A29="","",Datos!A29)</f>
        <v/>
      </c>
      <c r="B29">
        <f>IF(Datos!A29="","",Datos!B29)</f>
        <v/>
      </c>
      <c r="C29">
        <f>IF(Datos!A29="","",IFERROR(MAX(0,N(Datos!D29)),0))</f>
        <v/>
      </c>
      <c r="D29">
        <f>IF(Datos!A29="","",IFERROR(MAX(0,N(Datos!E29)),0))</f>
        <v/>
      </c>
      <c r="E29">
        <f>IF(Datos!A29="","",IFERROR(MAX(0,N(Datos!F29)),0))</f>
        <v/>
      </c>
      <c r="F29">
        <f>IF(Datos!A29="","",IFERROR(MAX(0,N(Datos!G29)),0))</f>
        <v/>
      </c>
      <c r="G29">
        <f>IF(Datos!A29="","",IFERROR(MAX(0,N(Datos!H29)),0))</f>
        <v/>
      </c>
      <c r="H29">
        <f>IF(Datos!A29="","",IFERROR(MAX(0,N(Datos!I29)),0))</f>
        <v/>
      </c>
      <c r="J29">
        <f>IF(Datos!A29="","",IF(MAX(C$2:C$301)-MIN(C$2:C$301)&lt;0.000000001,0.5,(C29-MIN(C$2:C$301))/(MAX(C$2:C$301)-MIN(C$2:C$301)))+0.000000001)</f>
        <v/>
      </c>
      <c r="K29">
        <f>IF(Datos!A29="","",IF(MAX(D$2:D$301)-MIN(D$2:D$301)&lt;0.000000001,0.5,(D29-MIN(D$2:D$301))/(MAX(D$2:D$301)-MIN(D$2:D$301)))+0.000000001)</f>
        <v/>
      </c>
      <c r="L29">
        <f>IF(Datos!A29="","",IF(MAX(E$2:E$301)-MIN(E$2:E$301)&lt;0.000000001,0.5,(E29-MIN(E$2:E$301))/(MAX(E$2:E$301)-MIN(E$2:E$301)))+0.000000001)</f>
        <v/>
      </c>
      <c r="M29">
        <f>IF(Datos!A29="","",IF(MAX(F$2:F$301)-MIN(F$2:F$301)&lt;0.000000001,0.5,(F29-MIN(F$2:F$301))/(MAX(F$2:F$301)-MIN(F$2:F$301)))+0.000000001)</f>
        <v/>
      </c>
      <c r="N29">
        <f>IF(Datos!A29="","",IF(MAX(G$2:G$301)-MIN(G$2:G$301)&lt;0.000000001,0.5,(G29-MIN(G$2:G$301))/(MAX(G$2:G$301)-MIN(G$2:G$301)))+0.000000001)</f>
        <v/>
      </c>
      <c r="O29">
        <f>IF(Datos!A29="","",IF(MAX(H$2:H$301)-MIN(H$2:H$301)&lt;0.000000001,0.5,(H29-MIN(H$2:H$301))/(MAX(H$2:H$301)-MIN(H$2:H$301)))+0.000000001)</f>
        <v/>
      </c>
      <c r="Q29">
        <f>IF(Datos!A29="","",(J29/SUM(J$2:J$301))*LN(J29/SUM(J$2:J$301)))</f>
        <v/>
      </c>
      <c r="R29">
        <f>IF(Datos!A29="","",(K29/SUM(K$2:K$301))*LN(K29/SUM(K$2:K$301)))</f>
        <v/>
      </c>
      <c r="S29">
        <f>IF(Datos!A29="","",(L29/SUM(L$2:L$301))*LN(L29/SUM(L$2:L$301)))</f>
        <v/>
      </c>
      <c r="T29">
        <f>IF(Datos!A29="","",(M29/SUM(M$2:M$301))*LN(M29/SUM(M$2:M$301)))</f>
        <v/>
      </c>
      <c r="U29">
        <f>IF(Datos!A29="","",(N29/SUM(N$2:N$301))*LN(N29/SUM(N$2:N$301)))</f>
        <v/>
      </c>
      <c r="V29">
        <f>IF(Datos!A29="","",(O29/SUM(O$2:O$301))*LN(O29/SUM(O$2:O$301)))</f>
        <v/>
      </c>
      <c r="X29">
        <f>IF(Datos!A29="","",IF(SUMSQ(C$2:C$301)=0,0,C29/SQRT(SUMSQ(C$2:C$301)))*$BE$2)</f>
        <v/>
      </c>
      <c r="Y29">
        <f>IF(Datos!A29="","",IF(SUMSQ(D$2:D$301)=0,0,D29/SQRT(SUMSQ(D$2:D$301)))*$BE$3)</f>
        <v/>
      </c>
      <c r="Z29">
        <f>IF(Datos!A29="","",IF(SUMSQ(E$2:E$301)=0,0,E29/SQRT(SUMSQ(E$2:E$301)))*$BE$4)</f>
        <v/>
      </c>
      <c r="AA29">
        <f>IF(Datos!A29="","",IF(SUMSQ(F$2:F$301)=0,0,F29/SQRT(SUMSQ(F$2:F$301)))*$BE$5)</f>
        <v/>
      </c>
      <c r="AB29">
        <f>IF(Datos!A29="","",IF(SUMSQ(G$2:G$301)=0,0,G29/SQRT(SUMSQ(G$2:G$301)))*$BE$6)</f>
        <v/>
      </c>
      <c r="AC29">
        <f>IF(Datos!A29="","",IF(SUMSQ(H$2:H$301)=0,0,H29/SQRT(SUMSQ(H$2:H$301)))*$BE$7)</f>
        <v/>
      </c>
      <c r="AE29">
        <f>IF(Datos!A29="","",SQRT(SUMXMY2(X29:AC29,$X$303:$AC$303)))</f>
        <v/>
      </c>
      <c r="AF29">
        <f>IF(Datos!A29="","",SQRT(SUMXMY2(X29:AC29,$X$304:$AC$304)))</f>
        <v/>
      </c>
      <c r="AG29" s="11">
        <f>IF(Datos!A29="","",IF(AE29+AF29&lt;0.000000001,0.5,AF29/(AE29+AF29)))</f>
        <v/>
      </c>
      <c r="AH29">
        <f>IF(Datos!A29="","",AG29*MAX(C29*D29,1))</f>
        <v/>
      </c>
      <c r="AI29">
        <f>IF(Datos!A29="","",SUMIF($AH$2:$AH$301,"&gt;="&amp;AH29,$AH$2:$AH$301)/SUM($AH$2:$AH$301))</f>
        <v/>
      </c>
      <c r="AJ29" s="12">
        <f>IF(Datos!A29="","",IF(AI29&lt;=Parametros!$B$13,"A",IF(AI29&lt;=Parametros!$B$14,"B","C")))</f>
        <v/>
      </c>
      <c r="AK29" s="13">
        <f>IF(Datos!A29="","",VLOOKUP(AJ29,Parametros!$A$8:$C$10,2,FALSE))</f>
        <v/>
      </c>
      <c r="AL29">
        <f>IF(Datos!A29="","",VLOOKUP(AJ29,Parametros!$A$8:$C$10,3,FALSE))</f>
        <v/>
      </c>
      <c r="AM29">
        <f>IF(Datos!A29="","",NORMSINV(AK29))</f>
        <v/>
      </c>
      <c r="AN29">
        <f>IF(Datos!A29="","",D29/Parametros!$B$4)</f>
        <v/>
      </c>
      <c r="AO29">
        <f>IF(Datos!A29="","",MAX(0,ROUNDUP(AM29*(AN29*Parametros!$B$3)*SQRT((AL29+E29)),0)))</f>
        <v/>
      </c>
      <c r="AP29">
        <f>IF(Datos!A29="","",MAX(1,ROUNDUP(AN29*(AL29+E29)+AM29*(AN29*Parametros!$B$3)*SQRT((AL29+E29)),0)))</f>
        <v/>
      </c>
      <c r="AQ29">
        <f>IF(Datos!A29="","",IF(Datos!J29="","",Datos!J29))</f>
        <v/>
      </c>
      <c r="AR29">
        <f>IF(OR(Datos!A29="",AQ29=""),"",MAX(0,AQ29-AP29))</f>
        <v/>
      </c>
      <c r="AS29" s="10">
        <f>IF(OR(Datos!A29="",AQ29=""),"",AR29*C29)</f>
        <v/>
      </c>
      <c r="AT29" s="12">
        <f>IF(OR(Datos!A29="",AQ29=""),"",IF(AQ29&lt;AO29,"SI",""))</f>
        <v/>
      </c>
      <c r="AU29">
        <f>IF(Datos!A29="","",IF(AT29="SI","Reponer ahora",IF(AND(AQ29&lt;&gt;"",AR29&gt;0),"Bajar "&amp;TEXT(AR29,"#,##0")&amp;" un.","En rango")))</f>
        <v/>
      </c>
    </row>
    <row r="30">
      <c r="A30">
        <f>IF(Datos!A30="","",Datos!A30)</f>
        <v/>
      </c>
      <c r="B30">
        <f>IF(Datos!A30="","",Datos!B30)</f>
        <v/>
      </c>
      <c r="C30">
        <f>IF(Datos!A30="","",IFERROR(MAX(0,N(Datos!D30)),0))</f>
        <v/>
      </c>
      <c r="D30">
        <f>IF(Datos!A30="","",IFERROR(MAX(0,N(Datos!E30)),0))</f>
        <v/>
      </c>
      <c r="E30">
        <f>IF(Datos!A30="","",IFERROR(MAX(0,N(Datos!F30)),0))</f>
        <v/>
      </c>
      <c r="F30">
        <f>IF(Datos!A30="","",IFERROR(MAX(0,N(Datos!G30)),0))</f>
        <v/>
      </c>
      <c r="G30">
        <f>IF(Datos!A30="","",IFERROR(MAX(0,N(Datos!H30)),0))</f>
        <v/>
      </c>
      <c r="H30">
        <f>IF(Datos!A30="","",IFERROR(MAX(0,N(Datos!I30)),0))</f>
        <v/>
      </c>
      <c r="J30">
        <f>IF(Datos!A30="","",IF(MAX(C$2:C$301)-MIN(C$2:C$301)&lt;0.000000001,0.5,(C30-MIN(C$2:C$301))/(MAX(C$2:C$301)-MIN(C$2:C$301)))+0.000000001)</f>
        <v/>
      </c>
      <c r="K30">
        <f>IF(Datos!A30="","",IF(MAX(D$2:D$301)-MIN(D$2:D$301)&lt;0.000000001,0.5,(D30-MIN(D$2:D$301))/(MAX(D$2:D$301)-MIN(D$2:D$301)))+0.000000001)</f>
        <v/>
      </c>
      <c r="L30">
        <f>IF(Datos!A30="","",IF(MAX(E$2:E$301)-MIN(E$2:E$301)&lt;0.000000001,0.5,(E30-MIN(E$2:E$301))/(MAX(E$2:E$301)-MIN(E$2:E$301)))+0.000000001)</f>
        <v/>
      </c>
      <c r="M30">
        <f>IF(Datos!A30="","",IF(MAX(F$2:F$301)-MIN(F$2:F$301)&lt;0.000000001,0.5,(F30-MIN(F$2:F$301))/(MAX(F$2:F$301)-MIN(F$2:F$301)))+0.000000001)</f>
        <v/>
      </c>
      <c r="N30">
        <f>IF(Datos!A30="","",IF(MAX(G$2:G$301)-MIN(G$2:G$301)&lt;0.000000001,0.5,(G30-MIN(G$2:G$301))/(MAX(G$2:G$301)-MIN(G$2:G$301)))+0.000000001)</f>
        <v/>
      </c>
      <c r="O30">
        <f>IF(Datos!A30="","",IF(MAX(H$2:H$301)-MIN(H$2:H$301)&lt;0.000000001,0.5,(H30-MIN(H$2:H$301))/(MAX(H$2:H$301)-MIN(H$2:H$301)))+0.000000001)</f>
        <v/>
      </c>
      <c r="Q30">
        <f>IF(Datos!A30="","",(J30/SUM(J$2:J$301))*LN(J30/SUM(J$2:J$301)))</f>
        <v/>
      </c>
      <c r="R30">
        <f>IF(Datos!A30="","",(K30/SUM(K$2:K$301))*LN(K30/SUM(K$2:K$301)))</f>
        <v/>
      </c>
      <c r="S30">
        <f>IF(Datos!A30="","",(L30/SUM(L$2:L$301))*LN(L30/SUM(L$2:L$301)))</f>
        <v/>
      </c>
      <c r="T30">
        <f>IF(Datos!A30="","",(M30/SUM(M$2:M$301))*LN(M30/SUM(M$2:M$301)))</f>
        <v/>
      </c>
      <c r="U30">
        <f>IF(Datos!A30="","",(N30/SUM(N$2:N$301))*LN(N30/SUM(N$2:N$301)))</f>
        <v/>
      </c>
      <c r="V30">
        <f>IF(Datos!A30="","",(O30/SUM(O$2:O$301))*LN(O30/SUM(O$2:O$301)))</f>
        <v/>
      </c>
      <c r="X30">
        <f>IF(Datos!A30="","",IF(SUMSQ(C$2:C$301)=0,0,C30/SQRT(SUMSQ(C$2:C$301)))*$BE$2)</f>
        <v/>
      </c>
      <c r="Y30">
        <f>IF(Datos!A30="","",IF(SUMSQ(D$2:D$301)=0,0,D30/SQRT(SUMSQ(D$2:D$301)))*$BE$3)</f>
        <v/>
      </c>
      <c r="Z30">
        <f>IF(Datos!A30="","",IF(SUMSQ(E$2:E$301)=0,0,E30/SQRT(SUMSQ(E$2:E$301)))*$BE$4)</f>
        <v/>
      </c>
      <c r="AA30">
        <f>IF(Datos!A30="","",IF(SUMSQ(F$2:F$301)=0,0,F30/SQRT(SUMSQ(F$2:F$301)))*$BE$5)</f>
        <v/>
      </c>
      <c r="AB30">
        <f>IF(Datos!A30="","",IF(SUMSQ(G$2:G$301)=0,0,G30/SQRT(SUMSQ(G$2:G$301)))*$BE$6)</f>
        <v/>
      </c>
      <c r="AC30">
        <f>IF(Datos!A30="","",IF(SUMSQ(H$2:H$301)=0,0,H30/SQRT(SUMSQ(H$2:H$301)))*$BE$7)</f>
        <v/>
      </c>
      <c r="AE30">
        <f>IF(Datos!A30="","",SQRT(SUMXMY2(X30:AC30,$X$303:$AC$303)))</f>
        <v/>
      </c>
      <c r="AF30">
        <f>IF(Datos!A30="","",SQRT(SUMXMY2(X30:AC30,$X$304:$AC$304)))</f>
        <v/>
      </c>
      <c r="AG30" s="11">
        <f>IF(Datos!A30="","",IF(AE30+AF30&lt;0.000000001,0.5,AF30/(AE30+AF30)))</f>
        <v/>
      </c>
      <c r="AH30">
        <f>IF(Datos!A30="","",AG30*MAX(C30*D30,1))</f>
        <v/>
      </c>
      <c r="AI30">
        <f>IF(Datos!A30="","",SUMIF($AH$2:$AH$301,"&gt;="&amp;AH30,$AH$2:$AH$301)/SUM($AH$2:$AH$301))</f>
        <v/>
      </c>
      <c r="AJ30" s="12">
        <f>IF(Datos!A30="","",IF(AI30&lt;=Parametros!$B$13,"A",IF(AI30&lt;=Parametros!$B$14,"B","C")))</f>
        <v/>
      </c>
      <c r="AK30" s="13">
        <f>IF(Datos!A30="","",VLOOKUP(AJ30,Parametros!$A$8:$C$10,2,FALSE))</f>
        <v/>
      </c>
      <c r="AL30">
        <f>IF(Datos!A30="","",VLOOKUP(AJ30,Parametros!$A$8:$C$10,3,FALSE))</f>
        <v/>
      </c>
      <c r="AM30">
        <f>IF(Datos!A30="","",NORMSINV(AK30))</f>
        <v/>
      </c>
      <c r="AN30">
        <f>IF(Datos!A30="","",D30/Parametros!$B$4)</f>
        <v/>
      </c>
      <c r="AO30">
        <f>IF(Datos!A30="","",MAX(0,ROUNDUP(AM30*(AN30*Parametros!$B$3)*SQRT((AL30+E30)),0)))</f>
        <v/>
      </c>
      <c r="AP30">
        <f>IF(Datos!A30="","",MAX(1,ROUNDUP(AN30*(AL30+E30)+AM30*(AN30*Parametros!$B$3)*SQRT((AL30+E30)),0)))</f>
        <v/>
      </c>
      <c r="AQ30">
        <f>IF(Datos!A30="","",IF(Datos!J30="","",Datos!J30))</f>
        <v/>
      </c>
      <c r="AR30">
        <f>IF(OR(Datos!A30="",AQ30=""),"",MAX(0,AQ30-AP30))</f>
        <v/>
      </c>
      <c r="AS30" s="10">
        <f>IF(OR(Datos!A30="",AQ30=""),"",AR30*C30)</f>
        <v/>
      </c>
      <c r="AT30" s="12">
        <f>IF(OR(Datos!A30="",AQ30=""),"",IF(AQ30&lt;AO30,"SI",""))</f>
        <v/>
      </c>
      <c r="AU30">
        <f>IF(Datos!A30="","",IF(AT30="SI","Reponer ahora",IF(AND(AQ30&lt;&gt;"",AR30&gt;0),"Bajar "&amp;TEXT(AR30,"#,##0")&amp;" un.","En rango")))</f>
        <v/>
      </c>
    </row>
    <row r="31">
      <c r="A31">
        <f>IF(Datos!A31="","",Datos!A31)</f>
        <v/>
      </c>
      <c r="B31">
        <f>IF(Datos!A31="","",Datos!B31)</f>
        <v/>
      </c>
      <c r="C31">
        <f>IF(Datos!A31="","",IFERROR(MAX(0,N(Datos!D31)),0))</f>
        <v/>
      </c>
      <c r="D31">
        <f>IF(Datos!A31="","",IFERROR(MAX(0,N(Datos!E31)),0))</f>
        <v/>
      </c>
      <c r="E31">
        <f>IF(Datos!A31="","",IFERROR(MAX(0,N(Datos!F31)),0))</f>
        <v/>
      </c>
      <c r="F31">
        <f>IF(Datos!A31="","",IFERROR(MAX(0,N(Datos!G31)),0))</f>
        <v/>
      </c>
      <c r="G31">
        <f>IF(Datos!A31="","",IFERROR(MAX(0,N(Datos!H31)),0))</f>
        <v/>
      </c>
      <c r="H31">
        <f>IF(Datos!A31="","",IFERROR(MAX(0,N(Datos!I31)),0))</f>
        <v/>
      </c>
      <c r="J31">
        <f>IF(Datos!A31="","",IF(MAX(C$2:C$301)-MIN(C$2:C$301)&lt;0.000000001,0.5,(C31-MIN(C$2:C$301))/(MAX(C$2:C$301)-MIN(C$2:C$301)))+0.000000001)</f>
        <v/>
      </c>
      <c r="K31">
        <f>IF(Datos!A31="","",IF(MAX(D$2:D$301)-MIN(D$2:D$301)&lt;0.000000001,0.5,(D31-MIN(D$2:D$301))/(MAX(D$2:D$301)-MIN(D$2:D$301)))+0.000000001)</f>
        <v/>
      </c>
      <c r="L31">
        <f>IF(Datos!A31="","",IF(MAX(E$2:E$301)-MIN(E$2:E$301)&lt;0.000000001,0.5,(E31-MIN(E$2:E$301))/(MAX(E$2:E$301)-MIN(E$2:E$301)))+0.000000001)</f>
        <v/>
      </c>
      <c r="M31">
        <f>IF(Datos!A31="","",IF(MAX(F$2:F$301)-MIN(F$2:F$301)&lt;0.000000001,0.5,(F31-MIN(F$2:F$301))/(MAX(F$2:F$301)-MIN(F$2:F$301)))+0.000000001)</f>
        <v/>
      </c>
      <c r="N31">
        <f>IF(Datos!A31="","",IF(MAX(G$2:G$301)-MIN(G$2:G$301)&lt;0.000000001,0.5,(G31-MIN(G$2:G$301))/(MAX(G$2:G$301)-MIN(G$2:G$301)))+0.000000001)</f>
        <v/>
      </c>
      <c r="O31">
        <f>IF(Datos!A31="","",IF(MAX(H$2:H$301)-MIN(H$2:H$301)&lt;0.000000001,0.5,(H31-MIN(H$2:H$301))/(MAX(H$2:H$301)-MIN(H$2:H$301)))+0.000000001)</f>
        <v/>
      </c>
      <c r="Q31">
        <f>IF(Datos!A31="","",(J31/SUM(J$2:J$301))*LN(J31/SUM(J$2:J$301)))</f>
        <v/>
      </c>
      <c r="R31">
        <f>IF(Datos!A31="","",(K31/SUM(K$2:K$301))*LN(K31/SUM(K$2:K$301)))</f>
        <v/>
      </c>
      <c r="S31">
        <f>IF(Datos!A31="","",(L31/SUM(L$2:L$301))*LN(L31/SUM(L$2:L$301)))</f>
        <v/>
      </c>
      <c r="T31">
        <f>IF(Datos!A31="","",(M31/SUM(M$2:M$301))*LN(M31/SUM(M$2:M$301)))</f>
        <v/>
      </c>
      <c r="U31">
        <f>IF(Datos!A31="","",(N31/SUM(N$2:N$301))*LN(N31/SUM(N$2:N$301)))</f>
        <v/>
      </c>
      <c r="V31">
        <f>IF(Datos!A31="","",(O31/SUM(O$2:O$301))*LN(O31/SUM(O$2:O$301)))</f>
        <v/>
      </c>
      <c r="X31">
        <f>IF(Datos!A31="","",IF(SUMSQ(C$2:C$301)=0,0,C31/SQRT(SUMSQ(C$2:C$301)))*$BE$2)</f>
        <v/>
      </c>
      <c r="Y31">
        <f>IF(Datos!A31="","",IF(SUMSQ(D$2:D$301)=0,0,D31/SQRT(SUMSQ(D$2:D$301)))*$BE$3)</f>
        <v/>
      </c>
      <c r="Z31">
        <f>IF(Datos!A31="","",IF(SUMSQ(E$2:E$301)=0,0,E31/SQRT(SUMSQ(E$2:E$301)))*$BE$4)</f>
        <v/>
      </c>
      <c r="AA31">
        <f>IF(Datos!A31="","",IF(SUMSQ(F$2:F$301)=0,0,F31/SQRT(SUMSQ(F$2:F$301)))*$BE$5)</f>
        <v/>
      </c>
      <c r="AB31">
        <f>IF(Datos!A31="","",IF(SUMSQ(G$2:G$301)=0,0,G31/SQRT(SUMSQ(G$2:G$301)))*$BE$6)</f>
        <v/>
      </c>
      <c r="AC31">
        <f>IF(Datos!A31="","",IF(SUMSQ(H$2:H$301)=0,0,H31/SQRT(SUMSQ(H$2:H$301)))*$BE$7)</f>
        <v/>
      </c>
      <c r="AE31">
        <f>IF(Datos!A31="","",SQRT(SUMXMY2(X31:AC31,$X$303:$AC$303)))</f>
        <v/>
      </c>
      <c r="AF31">
        <f>IF(Datos!A31="","",SQRT(SUMXMY2(X31:AC31,$X$304:$AC$304)))</f>
        <v/>
      </c>
      <c r="AG31" s="11">
        <f>IF(Datos!A31="","",IF(AE31+AF31&lt;0.000000001,0.5,AF31/(AE31+AF31)))</f>
        <v/>
      </c>
      <c r="AH31">
        <f>IF(Datos!A31="","",AG31*MAX(C31*D31,1))</f>
        <v/>
      </c>
      <c r="AI31">
        <f>IF(Datos!A31="","",SUMIF($AH$2:$AH$301,"&gt;="&amp;AH31,$AH$2:$AH$301)/SUM($AH$2:$AH$301))</f>
        <v/>
      </c>
      <c r="AJ31" s="12">
        <f>IF(Datos!A31="","",IF(AI31&lt;=Parametros!$B$13,"A",IF(AI31&lt;=Parametros!$B$14,"B","C")))</f>
        <v/>
      </c>
      <c r="AK31" s="13">
        <f>IF(Datos!A31="","",VLOOKUP(AJ31,Parametros!$A$8:$C$10,2,FALSE))</f>
        <v/>
      </c>
      <c r="AL31">
        <f>IF(Datos!A31="","",VLOOKUP(AJ31,Parametros!$A$8:$C$10,3,FALSE))</f>
        <v/>
      </c>
      <c r="AM31">
        <f>IF(Datos!A31="","",NORMSINV(AK31))</f>
        <v/>
      </c>
      <c r="AN31">
        <f>IF(Datos!A31="","",D31/Parametros!$B$4)</f>
        <v/>
      </c>
      <c r="AO31">
        <f>IF(Datos!A31="","",MAX(0,ROUNDUP(AM31*(AN31*Parametros!$B$3)*SQRT((AL31+E31)),0)))</f>
        <v/>
      </c>
      <c r="AP31">
        <f>IF(Datos!A31="","",MAX(1,ROUNDUP(AN31*(AL31+E31)+AM31*(AN31*Parametros!$B$3)*SQRT((AL31+E31)),0)))</f>
        <v/>
      </c>
      <c r="AQ31">
        <f>IF(Datos!A31="","",IF(Datos!J31="","",Datos!J31))</f>
        <v/>
      </c>
      <c r="AR31">
        <f>IF(OR(Datos!A31="",AQ31=""),"",MAX(0,AQ31-AP31))</f>
        <v/>
      </c>
      <c r="AS31" s="10">
        <f>IF(OR(Datos!A31="",AQ31=""),"",AR31*C31)</f>
        <v/>
      </c>
      <c r="AT31" s="12">
        <f>IF(OR(Datos!A31="",AQ31=""),"",IF(AQ31&lt;AO31,"SI",""))</f>
        <v/>
      </c>
      <c r="AU31">
        <f>IF(Datos!A31="","",IF(AT31="SI","Reponer ahora",IF(AND(AQ31&lt;&gt;"",AR31&gt;0),"Bajar "&amp;TEXT(AR31,"#,##0")&amp;" un.","En rango")))</f>
        <v/>
      </c>
    </row>
    <row r="32">
      <c r="A32">
        <f>IF(Datos!A32="","",Datos!A32)</f>
        <v/>
      </c>
      <c r="B32">
        <f>IF(Datos!A32="","",Datos!B32)</f>
        <v/>
      </c>
      <c r="C32">
        <f>IF(Datos!A32="","",IFERROR(MAX(0,N(Datos!D32)),0))</f>
        <v/>
      </c>
      <c r="D32">
        <f>IF(Datos!A32="","",IFERROR(MAX(0,N(Datos!E32)),0))</f>
        <v/>
      </c>
      <c r="E32">
        <f>IF(Datos!A32="","",IFERROR(MAX(0,N(Datos!F32)),0))</f>
        <v/>
      </c>
      <c r="F32">
        <f>IF(Datos!A32="","",IFERROR(MAX(0,N(Datos!G32)),0))</f>
        <v/>
      </c>
      <c r="G32">
        <f>IF(Datos!A32="","",IFERROR(MAX(0,N(Datos!H32)),0))</f>
        <v/>
      </c>
      <c r="H32">
        <f>IF(Datos!A32="","",IFERROR(MAX(0,N(Datos!I32)),0))</f>
        <v/>
      </c>
      <c r="J32">
        <f>IF(Datos!A32="","",IF(MAX(C$2:C$301)-MIN(C$2:C$301)&lt;0.000000001,0.5,(C32-MIN(C$2:C$301))/(MAX(C$2:C$301)-MIN(C$2:C$301)))+0.000000001)</f>
        <v/>
      </c>
      <c r="K32">
        <f>IF(Datos!A32="","",IF(MAX(D$2:D$301)-MIN(D$2:D$301)&lt;0.000000001,0.5,(D32-MIN(D$2:D$301))/(MAX(D$2:D$301)-MIN(D$2:D$301)))+0.000000001)</f>
        <v/>
      </c>
      <c r="L32">
        <f>IF(Datos!A32="","",IF(MAX(E$2:E$301)-MIN(E$2:E$301)&lt;0.000000001,0.5,(E32-MIN(E$2:E$301))/(MAX(E$2:E$301)-MIN(E$2:E$301)))+0.000000001)</f>
        <v/>
      </c>
      <c r="M32">
        <f>IF(Datos!A32="","",IF(MAX(F$2:F$301)-MIN(F$2:F$301)&lt;0.000000001,0.5,(F32-MIN(F$2:F$301))/(MAX(F$2:F$301)-MIN(F$2:F$301)))+0.000000001)</f>
        <v/>
      </c>
      <c r="N32">
        <f>IF(Datos!A32="","",IF(MAX(G$2:G$301)-MIN(G$2:G$301)&lt;0.000000001,0.5,(G32-MIN(G$2:G$301))/(MAX(G$2:G$301)-MIN(G$2:G$301)))+0.000000001)</f>
        <v/>
      </c>
      <c r="O32">
        <f>IF(Datos!A32="","",IF(MAX(H$2:H$301)-MIN(H$2:H$301)&lt;0.000000001,0.5,(H32-MIN(H$2:H$301))/(MAX(H$2:H$301)-MIN(H$2:H$301)))+0.000000001)</f>
        <v/>
      </c>
      <c r="Q32">
        <f>IF(Datos!A32="","",(J32/SUM(J$2:J$301))*LN(J32/SUM(J$2:J$301)))</f>
        <v/>
      </c>
      <c r="R32">
        <f>IF(Datos!A32="","",(K32/SUM(K$2:K$301))*LN(K32/SUM(K$2:K$301)))</f>
        <v/>
      </c>
      <c r="S32">
        <f>IF(Datos!A32="","",(L32/SUM(L$2:L$301))*LN(L32/SUM(L$2:L$301)))</f>
        <v/>
      </c>
      <c r="T32">
        <f>IF(Datos!A32="","",(M32/SUM(M$2:M$301))*LN(M32/SUM(M$2:M$301)))</f>
        <v/>
      </c>
      <c r="U32">
        <f>IF(Datos!A32="","",(N32/SUM(N$2:N$301))*LN(N32/SUM(N$2:N$301)))</f>
        <v/>
      </c>
      <c r="V32">
        <f>IF(Datos!A32="","",(O32/SUM(O$2:O$301))*LN(O32/SUM(O$2:O$301)))</f>
        <v/>
      </c>
      <c r="X32">
        <f>IF(Datos!A32="","",IF(SUMSQ(C$2:C$301)=0,0,C32/SQRT(SUMSQ(C$2:C$301)))*$BE$2)</f>
        <v/>
      </c>
      <c r="Y32">
        <f>IF(Datos!A32="","",IF(SUMSQ(D$2:D$301)=0,0,D32/SQRT(SUMSQ(D$2:D$301)))*$BE$3)</f>
        <v/>
      </c>
      <c r="Z32">
        <f>IF(Datos!A32="","",IF(SUMSQ(E$2:E$301)=0,0,E32/SQRT(SUMSQ(E$2:E$301)))*$BE$4)</f>
        <v/>
      </c>
      <c r="AA32">
        <f>IF(Datos!A32="","",IF(SUMSQ(F$2:F$301)=0,0,F32/SQRT(SUMSQ(F$2:F$301)))*$BE$5)</f>
        <v/>
      </c>
      <c r="AB32">
        <f>IF(Datos!A32="","",IF(SUMSQ(G$2:G$301)=0,0,G32/SQRT(SUMSQ(G$2:G$301)))*$BE$6)</f>
        <v/>
      </c>
      <c r="AC32">
        <f>IF(Datos!A32="","",IF(SUMSQ(H$2:H$301)=0,0,H32/SQRT(SUMSQ(H$2:H$301)))*$BE$7)</f>
        <v/>
      </c>
      <c r="AE32">
        <f>IF(Datos!A32="","",SQRT(SUMXMY2(X32:AC32,$X$303:$AC$303)))</f>
        <v/>
      </c>
      <c r="AF32">
        <f>IF(Datos!A32="","",SQRT(SUMXMY2(X32:AC32,$X$304:$AC$304)))</f>
        <v/>
      </c>
      <c r="AG32" s="11">
        <f>IF(Datos!A32="","",IF(AE32+AF32&lt;0.000000001,0.5,AF32/(AE32+AF32)))</f>
        <v/>
      </c>
      <c r="AH32">
        <f>IF(Datos!A32="","",AG32*MAX(C32*D32,1))</f>
        <v/>
      </c>
      <c r="AI32">
        <f>IF(Datos!A32="","",SUMIF($AH$2:$AH$301,"&gt;="&amp;AH32,$AH$2:$AH$301)/SUM($AH$2:$AH$301))</f>
        <v/>
      </c>
      <c r="AJ32" s="12">
        <f>IF(Datos!A32="","",IF(AI32&lt;=Parametros!$B$13,"A",IF(AI32&lt;=Parametros!$B$14,"B","C")))</f>
        <v/>
      </c>
      <c r="AK32" s="13">
        <f>IF(Datos!A32="","",VLOOKUP(AJ32,Parametros!$A$8:$C$10,2,FALSE))</f>
        <v/>
      </c>
      <c r="AL32">
        <f>IF(Datos!A32="","",VLOOKUP(AJ32,Parametros!$A$8:$C$10,3,FALSE))</f>
        <v/>
      </c>
      <c r="AM32">
        <f>IF(Datos!A32="","",NORMSINV(AK32))</f>
        <v/>
      </c>
      <c r="AN32">
        <f>IF(Datos!A32="","",D32/Parametros!$B$4)</f>
        <v/>
      </c>
      <c r="AO32">
        <f>IF(Datos!A32="","",MAX(0,ROUNDUP(AM32*(AN32*Parametros!$B$3)*SQRT((AL32+E32)),0)))</f>
        <v/>
      </c>
      <c r="AP32">
        <f>IF(Datos!A32="","",MAX(1,ROUNDUP(AN32*(AL32+E32)+AM32*(AN32*Parametros!$B$3)*SQRT((AL32+E32)),0)))</f>
        <v/>
      </c>
      <c r="AQ32">
        <f>IF(Datos!A32="","",IF(Datos!J32="","",Datos!J32))</f>
        <v/>
      </c>
      <c r="AR32">
        <f>IF(OR(Datos!A32="",AQ32=""),"",MAX(0,AQ32-AP32))</f>
        <v/>
      </c>
      <c r="AS32" s="10">
        <f>IF(OR(Datos!A32="",AQ32=""),"",AR32*C32)</f>
        <v/>
      </c>
      <c r="AT32" s="12">
        <f>IF(OR(Datos!A32="",AQ32=""),"",IF(AQ32&lt;AO32,"SI",""))</f>
        <v/>
      </c>
      <c r="AU32">
        <f>IF(Datos!A32="","",IF(AT32="SI","Reponer ahora",IF(AND(AQ32&lt;&gt;"",AR32&gt;0),"Bajar "&amp;TEXT(AR32,"#,##0")&amp;" un.","En rango")))</f>
        <v/>
      </c>
    </row>
    <row r="33">
      <c r="A33">
        <f>IF(Datos!A33="","",Datos!A33)</f>
        <v/>
      </c>
      <c r="B33">
        <f>IF(Datos!A33="","",Datos!B33)</f>
        <v/>
      </c>
      <c r="C33">
        <f>IF(Datos!A33="","",IFERROR(MAX(0,N(Datos!D33)),0))</f>
        <v/>
      </c>
      <c r="D33">
        <f>IF(Datos!A33="","",IFERROR(MAX(0,N(Datos!E33)),0))</f>
        <v/>
      </c>
      <c r="E33">
        <f>IF(Datos!A33="","",IFERROR(MAX(0,N(Datos!F33)),0))</f>
        <v/>
      </c>
      <c r="F33">
        <f>IF(Datos!A33="","",IFERROR(MAX(0,N(Datos!G33)),0))</f>
        <v/>
      </c>
      <c r="G33">
        <f>IF(Datos!A33="","",IFERROR(MAX(0,N(Datos!H33)),0))</f>
        <v/>
      </c>
      <c r="H33">
        <f>IF(Datos!A33="","",IFERROR(MAX(0,N(Datos!I33)),0))</f>
        <v/>
      </c>
      <c r="J33">
        <f>IF(Datos!A33="","",IF(MAX(C$2:C$301)-MIN(C$2:C$301)&lt;0.000000001,0.5,(C33-MIN(C$2:C$301))/(MAX(C$2:C$301)-MIN(C$2:C$301)))+0.000000001)</f>
        <v/>
      </c>
      <c r="K33">
        <f>IF(Datos!A33="","",IF(MAX(D$2:D$301)-MIN(D$2:D$301)&lt;0.000000001,0.5,(D33-MIN(D$2:D$301))/(MAX(D$2:D$301)-MIN(D$2:D$301)))+0.000000001)</f>
        <v/>
      </c>
      <c r="L33">
        <f>IF(Datos!A33="","",IF(MAX(E$2:E$301)-MIN(E$2:E$301)&lt;0.000000001,0.5,(E33-MIN(E$2:E$301))/(MAX(E$2:E$301)-MIN(E$2:E$301)))+0.000000001)</f>
        <v/>
      </c>
      <c r="M33">
        <f>IF(Datos!A33="","",IF(MAX(F$2:F$301)-MIN(F$2:F$301)&lt;0.000000001,0.5,(F33-MIN(F$2:F$301))/(MAX(F$2:F$301)-MIN(F$2:F$301)))+0.000000001)</f>
        <v/>
      </c>
      <c r="N33">
        <f>IF(Datos!A33="","",IF(MAX(G$2:G$301)-MIN(G$2:G$301)&lt;0.000000001,0.5,(G33-MIN(G$2:G$301))/(MAX(G$2:G$301)-MIN(G$2:G$301)))+0.000000001)</f>
        <v/>
      </c>
      <c r="O33">
        <f>IF(Datos!A33="","",IF(MAX(H$2:H$301)-MIN(H$2:H$301)&lt;0.000000001,0.5,(H33-MIN(H$2:H$301))/(MAX(H$2:H$301)-MIN(H$2:H$301)))+0.000000001)</f>
        <v/>
      </c>
      <c r="Q33">
        <f>IF(Datos!A33="","",(J33/SUM(J$2:J$301))*LN(J33/SUM(J$2:J$301)))</f>
        <v/>
      </c>
      <c r="R33">
        <f>IF(Datos!A33="","",(K33/SUM(K$2:K$301))*LN(K33/SUM(K$2:K$301)))</f>
        <v/>
      </c>
      <c r="S33">
        <f>IF(Datos!A33="","",(L33/SUM(L$2:L$301))*LN(L33/SUM(L$2:L$301)))</f>
        <v/>
      </c>
      <c r="T33">
        <f>IF(Datos!A33="","",(M33/SUM(M$2:M$301))*LN(M33/SUM(M$2:M$301)))</f>
        <v/>
      </c>
      <c r="U33">
        <f>IF(Datos!A33="","",(N33/SUM(N$2:N$301))*LN(N33/SUM(N$2:N$301)))</f>
        <v/>
      </c>
      <c r="V33">
        <f>IF(Datos!A33="","",(O33/SUM(O$2:O$301))*LN(O33/SUM(O$2:O$301)))</f>
        <v/>
      </c>
      <c r="X33">
        <f>IF(Datos!A33="","",IF(SUMSQ(C$2:C$301)=0,0,C33/SQRT(SUMSQ(C$2:C$301)))*$BE$2)</f>
        <v/>
      </c>
      <c r="Y33">
        <f>IF(Datos!A33="","",IF(SUMSQ(D$2:D$301)=0,0,D33/SQRT(SUMSQ(D$2:D$301)))*$BE$3)</f>
        <v/>
      </c>
      <c r="Z33">
        <f>IF(Datos!A33="","",IF(SUMSQ(E$2:E$301)=0,0,E33/SQRT(SUMSQ(E$2:E$301)))*$BE$4)</f>
        <v/>
      </c>
      <c r="AA33">
        <f>IF(Datos!A33="","",IF(SUMSQ(F$2:F$301)=0,0,F33/SQRT(SUMSQ(F$2:F$301)))*$BE$5)</f>
        <v/>
      </c>
      <c r="AB33">
        <f>IF(Datos!A33="","",IF(SUMSQ(G$2:G$301)=0,0,G33/SQRT(SUMSQ(G$2:G$301)))*$BE$6)</f>
        <v/>
      </c>
      <c r="AC33">
        <f>IF(Datos!A33="","",IF(SUMSQ(H$2:H$301)=0,0,H33/SQRT(SUMSQ(H$2:H$301)))*$BE$7)</f>
        <v/>
      </c>
      <c r="AE33">
        <f>IF(Datos!A33="","",SQRT(SUMXMY2(X33:AC33,$X$303:$AC$303)))</f>
        <v/>
      </c>
      <c r="AF33">
        <f>IF(Datos!A33="","",SQRT(SUMXMY2(X33:AC33,$X$304:$AC$304)))</f>
        <v/>
      </c>
      <c r="AG33" s="11">
        <f>IF(Datos!A33="","",IF(AE33+AF33&lt;0.000000001,0.5,AF33/(AE33+AF33)))</f>
        <v/>
      </c>
      <c r="AH33">
        <f>IF(Datos!A33="","",AG33*MAX(C33*D33,1))</f>
        <v/>
      </c>
      <c r="AI33">
        <f>IF(Datos!A33="","",SUMIF($AH$2:$AH$301,"&gt;="&amp;AH33,$AH$2:$AH$301)/SUM($AH$2:$AH$301))</f>
        <v/>
      </c>
      <c r="AJ33" s="12">
        <f>IF(Datos!A33="","",IF(AI33&lt;=Parametros!$B$13,"A",IF(AI33&lt;=Parametros!$B$14,"B","C")))</f>
        <v/>
      </c>
      <c r="AK33" s="13">
        <f>IF(Datos!A33="","",VLOOKUP(AJ33,Parametros!$A$8:$C$10,2,FALSE))</f>
        <v/>
      </c>
      <c r="AL33">
        <f>IF(Datos!A33="","",VLOOKUP(AJ33,Parametros!$A$8:$C$10,3,FALSE))</f>
        <v/>
      </c>
      <c r="AM33">
        <f>IF(Datos!A33="","",NORMSINV(AK33))</f>
        <v/>
      </c>
      <c r="AN33">
        <f>IF(Datos!A33="","",D33/Parametros!$B$4)</f>
        <v/>
      </c>
      <c r="AO33">
        <f>IF(Datos!A33="","",MAX(0,ROUNDUP(AM33*(AN33*Parametros!$B$3)*SQRT((AL33+E33)),0)))</f>
        <v/>
      </c>
      <c r="AP33">
        <f>IF(Datos!A33="","",MAX(1,ROUNDUP(AN33*(AL33+E33)+AM33*(AN33*Parametros!$B$3)*SQRT((AL33+E33)),0)))</f>
        <v/>
      </c>
      <c r="AQ33">
        <f>IF(Datos!A33="","",IF(Datos!J33="","",Datos!J33))</f>
        <v/>
      </c>
      <c r="AR33">
        <f>IF(OR(Datos!A33="",AQ33=""),"",MAX(0,AQ33-AP33))</f>
        <v/>
      </c>
      <c r="AS33" s="10">
        <f>IF(OR(Datos!A33="",AQ33=""),"",AR33*C33)</f>
        <v/>
      </c>
      <c r="AT33" s="12">
        <f>IF(OR(Datos!A33="",AQ33=""),"",IF(AQ33&lt;AO33,"SI",""))</f>
        <v/>
      </c>
      <c r="AU33">
        <f>IF(Datos!A33="","",IF(AT33="SI","Reponer ahora",IF(AND(AQ33&lt;&gt;"",AR33&gt;0),"Bajar "&amp;TEXT(AR33,"#,##0")&amp;" un.","En rango")))</f>
        <v/>
      </c>
    </row>
    <row r="34">
      <c r="A34">
        <f>IF(Datos!A34="","",Datos!A34)</f>
        <v/>
      </c>
      <c r="B34">
        <f>IF(Datos!A34="","",Datos!B34)</f>
        <v/>
      </c>
      <c r="C34">
        <f>IF(Datos!A34="","",IFERROR(MAX(0,N(Datos!D34)),0))</f>
        <v/>
      </c>
      <c r="D34">
        <f>IF(Datos!A34="","",IFERROR(MAX(0,N(Datos!E34)),0))</f>
        <v/>
      </c>
      <c r="E34">
        <f>IF(Datos!A34="","",IFERROR(MAX(0,N(Datos!F34)),0))</f>
        <v/>
      </c>
      <c r="F34">
        <f>IF(Datos!A34="","",IFERROR(MAX(0,N(Datos!G34)),0))</f>
        <v/>
      </c>
      <c r="G34">
        <f>IF(Datos!A34="","",IFERROR(MAX(0,N(Datos!H34)),0))</f>
        <v/>
      </c>
      <c r="H34">
        <f>IF(Datos!A34="","",IFERROR(MAX(0,N(Datos!I34)),0))</f>
        <v/>
      </c>
      <c r="J34">
        <f>IF(Datos!A34="","",IF(MAX(C$2:C$301)-MIN(C$2:C$301)&lt;0.000000001,0.5,(C34-MIN(C$2:C$301))/(MAX(C$2:C$301)-MIN(C$2:C$301)))+0.000000001)</f>
        <v/>
      </c>
      <c r="K34">
        <f>IF(Datos!A34="","",IF(MAX(D$2:D$301)-MIN(D$2:D$301)&lt;0.000000001,0.5,(D34-MIN(D$2:D$301))/(MAX(D$2:D$301)-MIN(D$2:D$301)))+0.000000001)</f>
        <v/>
      </c>
      <c r="L34">
        <f>IF(Datos!A34="","",IF(MAX(E$2:E$301)-MIN(E$2:E$301)&lt;0.000000001,0.5,(E34-MIN(E$2:E$301))/(MAX(E$2:E$301)-MIN(E$2:E$301)))+0.000000001)</f>
        <v/>
      </c>
      <c r="M34">
        <f>IF(Datos!A34="","",IF(MAX(F$2:F$301)-MIN(F$2:F$301)&lt;0.000000001,0.5,(F34-MIN(F$2:F$301))/(MAX(F$2:F$301)-MIN(F$2:F$301)))+0.000000001)</f>
        <v/>
      </c>
      <c r="N34">
        <f>IF(Datos!A34="","",IF(MAX(G$2:G$301)-MIN(G$2:G$301)&lt;0.000000001,0.5,(G34-MIN(G$2:G$301))/(MAX(G$2:G$301)-MIN(G$2:G$301)))+0.000000001)</f>
        <v/>
      </c>
      <c r="O34">
        <f>IF(Datos!A34="","",IF(MAX(H$2:H$301)-MIN(H$2:H$301)&lt;0.000000001,0.5,(H34-MIN(H$2:H$301))/(MAX(H$2:H$301)-MIN(H$2:H$301)))+0.000000001)</f>
        <v/>
      </c>
      <c r="Q34">
        <f>IF(Datos!A34="","",(J34/SUM(J$2:J$301))*LN(J34/SUM(J$2:J$301)))</f>
        <v/>
      </c>
      <c r="R34">
        <f>IF(Datos!A34="","",(K34/SUM(K$2:K$301))*LN(K34/SUM(K$2:K$301)))</f>
        <v/>
      </c>
      <c r="S34">
        <f>IF(Datos!A34="","",(L34/SUM(L$2:L$301))*LN(L34/SUM(L$2:L$301)))</f>
        <v/>
      </c>
      <c r="T34">
        <f>IF(Datos!A34="","",(M34/SUM(M$2:M$301))*LN(M34/SUM(M$2:M$301)))</f>
        <v/>
      </c>
      <c r="U34">
        <f>IF(Datos!A34="","",(N34/SUM(N$2:N$301))*LN(N34/SUM(N$2:N$301)))</f>
        <v/>
      </c>
      <c r="V34">
        <f>IF(Datos!A34="","",(O34/SUM(O$2:O$301))*LN(O34/SUM(O$2:O$301)))</f>
        <v/>
      </c>
      <c r="X34">
        <f>IF(Datos!A34="","",IF(SUMSQ(C$2:C$301)=0,0,C34/SQRT(SUMSQ(C$2:C$301)))*$BE$2)</f>
        <v/>
      </c>
      <c r="Y34">
        <f>IF(Datos!A34="","",IF(SUMSQ(D$2:D$301)=0,0,D34/SQRT(SUMSQ(D$2:D$301)))*$BE$3)</f>
        <v/>
      </c>
      <c r="Z34">
        <f>IF(Datos!A34="","",IF(SUMSQ(E$2:E$301)=0,0,E34/SQRT(SUMSQ(E$2:E$301)))*$BE$4)</f>
        <v/>
      </c>
      <c r="AA34">
        <f>IF(Datos!A34="","",IF(SUMSQ(F$2:F$301)=0,0,F34/SQRT(SUMSQ(F$2:F$301)))*$BE$5)</f>
        <v/>
      </c>
      <c r="AB34">
        <f>IF(Datos!A34="","",IF(SUMSQ(G$2:G$301)=0,0,G34/SQRT(SUMSQ(G$2:G$301)))*$BE$6)</f>
        <v/>
      </c>
      <c r="AC34">
        <f>IF(Datos!A34="","",IF(SUMSQ(H$2:H$301)=0,0,H34/SQRT(SUMSQ(H$2:H$301)))*$BE$7)</f>
        <v/>
      </c>
      <c r="AE34">
        <f>IF(Datos!A34="","",SQRT(SUMXMY2(X34:AC34,$X$303:$AC$303)))</f>
        <v/>
      </c>
      <c r="AF34">
        <f>IF(Datos!A34="","",SQRT(SUMXMY2(X34:AC34,$X$304:$AC$304)))</f>
        <v/>
      </c>
      <c r="AG34" s="11">
        <f>IF(Datos!A34="","",IF(AE34+AF34&lt;0.000000001,0.5,AF34/(AE34+AF34)))</f>
        <v/>
      </c>
      <c r="AH34">
        <f>IF(Datos!A34="","",AG34*MAX(C34*D34,1))</f>
        <v/>
      </c>
      <c r="AI34">
        <f>IF(Datos!A34="","",SUMIF($AH$2:$AH$301,"&gt;="&amp;AH34,$AH$2:$AH$301)/SUM($AH$2:$AH$301))</f>
        <v/>
      </c>
      <c r="AJ34" s="12">
        <f>IF(Datos!A34="","",IF(AI34&lt;=Parametros!$B$13,"A",IF(AI34&lt;=Parametros!$B$14,"B","C")))</f>
        <v/>
      </c>
      <c r="AK34" s="13">
        <f>IF(Datos!A34="","",VLOOKUP(AJ34,Parametros!$A$8:$C$10,2,FALSE))</f>
        <v/>
      </c>
      <c r="AL34">
        <f>IF(Datos!A34="","",VLOOKUP(AJ34,Parametros!$A$8:$C$10,3,FALSE))</f>
        <v/>
      </c>
      <c r="AM34">
        <f>IF(Datos!A34="","",NORMSINV(AK34))</f>
        <v/>
      </c>
      <c r="AN34">
        <f>IF(Datos!A34="","",D34/Parametros!$B$4)</f>
        <v/>
      </c>
      <c r="AO34">
        <f>IF(Datos!A34="","",MAX(0,ROUNDUP(AM34*(AN34*Parametros!$B$3)*SQRT((AL34+E34)),0)))</f>
        <v/>
      </c>
      <c r="AP34">
        <f>IF(Datos!A34="","",MAX(1,ROUNDUP(AN34*(AL34+E34)+AM34*(AN34*Parametros!$B$3)*SQRT((AL34+E34)),0)))</f>
        <v/>
      </c>
      <c r="AQ34">
        <f>IF(Datos!A34="","",IF(Datos!J34="","",Datos!J34))</f>
        <v/>
      </c>
      <c r="AR34">
        <f>IF(OR(Datos!A34="",AQ34=""),"",MAX(0,AQ34-AP34))</f>
        <v/>
      </c>
      <c r="AS34" s="10">
        <f>IF(OR(Datos!A34="",AQ34=""),"",AR34*C34)</f>
        <v/>
      </c>
      <c r="AT34" s="12">
        <f>IF(OR(Datos!A34="",AQ34=""),"",IF(AQ34&lt;AO34,"SI",""))</f>
        <v/>
      </c>
      <c r="AU34">
        <f>IF(Datos!A34="","",IF(AT34="SI","Reponer ahora",IF(AND(AQ34&lt;&gt;"",AR34&gt;0),"Bajar "&amp;TEXT(AR34,"#,##0")&amp;" un.","En rango")))</f>
        <v/>
      </c>
    </row>
    <row r="35">
      <c r="A35">
        <f>IF(Datos!A35="","",Datos!A35)</f>
        <v/>
      </c>
      <c r="B35">
        <f>IF(Datos!A35="","",Datos!B35)</f>
        <v/>
      </c>
      <c r="C35">
        <f>IF(Datos!A35="","",IFERROR(MAX(0,N(Datos!D35)),0))</f>
        <v/>
      </c>
      <c r="D35">
        <f>IF(Datos!A35="","",IFERROR(MAX(0,N(Datos!E35)),0))</f>
        <v/>
      </c>
      <c r="E35">
        <f>IF(Datos!A35="","",IFERROR(MAX(0,N(Datos!F35)),0))</f>
        <v/>
      </c>
      <c r="F35">
        <f>IF(Datos!A35="","",IFERROR(MAX(0,N(Datos!G35)),0))</f>
        <v/>
      </c>
      <c r="G35">
        <f>IF(Datos!A35="","",IFERROR(MAX(0,N(Datos!H35)),0))</f>
        <v/>
      </c>
      <c r="H35">
        <f>IF(Datos!A35="","",IFERROR(MAX(0,N(Datos!I35)),0))</f>
        <v/>
      </c>
      <c r="J35">
        <f>IF(Datos!A35="","",IF(MAX(C$2:C$301)-MIN(C$2:C$301)&lt;0.000000001,0.5,(C35-MIN(C$2:C$301))/(MAX(C$2:C$301)-MIN(C$2:C$301)))+0.000000001)</f>
        <v/>
      </c>
      <c r="K35">
        <f>IF(Datos!A35="","",IF(MAX(D$2:D$301)-MIN(D$2:D$301)&lt;0.000000001,0.5,(D35-MIN(D$2:D$301))/(MAX(D$2:D$301)-MIN(D$2:D$301)))+0.000000001)</f>
        <v/>
      </c>
      <c r="L35">
        <f>IF(Datos!A35="","",IF(MAX(E$2:E$301)-MIN(E$2:E$301)&lt;0.000000001,0.5,(E35-MIN(E$2:E$301))/(MAX(E$2:E$301)-MIN(E$2:E$301)))+0.000000001)</f>
        <v/>
      </c>
      <c r="M35">
        <f>IF(Datos!A35="","",IF(MAX(F$2:F$301)-MIN(F$2:F$301)&lt;0.000000001,0.5,(F35-MIN(F$2:F$301))/(MAX(F$2:F$301)-MIN(F$2:F$301)))+0.000000001)</f>
        <v/>
      </c>
      <c r="N35">
        <f>IF(Datos!A35="","",IF(MAX(G$2:G$301)-MIN(G$2:G$301)&lt;0.000000001,0.5,(G35-MIN(G$2:G$301))/(MAX(G$2:G$301)-MIN(G$2:G$301)))+0.000000001)</f>
        <v/>
      </c>
      <c r="O35">
        <f>IF(Datos!A35="","",IF(MAX(H$2:H$301)-MIN(H$2:H$301)&lt;0.000000001,0.5,(H35-MIN(H$2:H$301))/(MAX(H$2:H$301)-MIN(H$2:H$301)))+0.000000001)</f>
        <v/>
      </c>
      <c r="Q35">
        <f>IF(Datos!A35="","",(J35/SUM(J$2:J$301))*LN(J35/SUM(J$2:J$301)))</f>
        <v/>
      </c>
      <c r="R35">
        <f>IF(Datos!A35="","",(K35/SUM(K$2:K$301))*LN(K35/SUM(K$2:K$301)))</f>
        <v/>
      </c>
      <c r="S35">
        <f>IF(Datos!A35="","",(L35/SUM(L$2:L$301))*LN(L35/SUM(L$2:L$301)))</f>
        <v/>
      </c>
      <c r="T35">
        <f>IF(Datos!A35="","",(M35/SUM(M$2:M$301))*LN(M35/SUM(M$2:M$301)))</f>
        <v/>
      </c>
      <c r="U35">
        <f>IF(Datos!A35="","",(N35/SUM(N$2:N$301))*LN(N35/SUM(N$2:N$301)))</f>
        <v/>
      </c>
      <c r="V35">
        <f>IF(Datos!A35="","",(O35/SUM(O$2:O$301))*LN(O35/SUM(O$2:O$301)))</f>
        <v/>
      </c>
      <c r="X35">
        <f>IF(Datos!A35="","",IF(SUMSQ(C$2:C$301)=0,0,C35/SQRT(SUMSQ(C$2:C$301)))*$BE$2)</f>
        <v/>
      </c>
      <c r="Y35">
        <f>IF(Datos!A35="","",IF(SUMSQ(D$2:D$301)=0,0,D35/SQRT(SUMSQ(D$2:D$301)))*$BE$3)</f>
        <v/>
      </c>
      <c r="Z35">
        <f>IF(Datos!A35="","",IF(SUMSQ(E$2:E$301)=0,0,E35/SQRT(SUMSQ(E$2:E$301)))*$BE$4)</f>
        <v/>
      </c>
      <c r="AA35">
        <f>IF(Datos!A35="","",IF(SUMSQ(F$2:F$301)=0,0,F35/SQRT(SUMSQ(F$2:F$301)))*$BE$5)</f>
        <v/>
      </c>
      <c r="AB35">
        <f>IF(Datos!A35="","",IF(SUMSQ(G$2:G$301)=0,0,G35/SQRT(SUMSQ(G$2:G$301)))*$BE$6)</f>
        <v/>
      </c>
      <c r="AC35">
        <f>IF(Datos!A35="","",IF(SUMSQ(H$2:H$301)=0,0,H35/SQRT(SUMSQ(H$2:H$301)))*$BE$7)</f>
        <v/>
      </c>
      <c r="AE35">
        <f>IF(Datos!A35="","",SQRT(SUMXMY2(X35:AC35,$X$303:$AC$303)))</f>
        <v/>
      </c>
      <c r="AF35">
        <f>IF(Datos!A35="","",SQRT(SUMXMY2(X35:AC35,$X$304:$AC$304)))</f>
        <v/>
      </c>
      <c r="AG35" s="11">
        <f>IF(Datos!A35="","",IF(AE35+AF35&lt;0.000000001,0.5,AF35/(AE35+AF35)))</f>
        <v/>
      </c>
      <c r="AH35">
        <f>IF(Datos!A35="","",AG35*MAX(C35*D35,1))</f>
        <v/>
      </c>
      <c r="AI35">
        <f>IF(Datos!A35="","",SUMIF($AH$2:$AH$301,"&gt;="&amp;AH35,$AH$2:$AH$301)/SUM($AH$2:$AH$301))</f>
        <v/>
      </c>
      <c r="AJ35" s="12">
        <f>IF(Datos!A35="","",IF(AI35&lt;=Parametros!$B$13,"A",IF(AI35&lt;=Parametros!$B$14,"B","C")))</f>
        <v/>
      </c>
      <c r="AK35" s="13">
        <f>IF(Datos!A35="","",VLOOKUP(AJ35,Parametros!$A$8:$C$10,2,FALSE))</f>
        <v/>
      </c>
      <c r="AL35">
        <f>IF(Datos!A35="","",VLOOKUP(AJ35,Parametros!$A$8:$C$10,3,FALSE))</f>
        <v/>
      </c>
      <c r="AM35">
        <f>IF(Datos!A35="","",NORMSINV(AK35))</f>
        <v/>
      </c>
      <c r="AN35">
        <f>IF(Datos!A35="","",D35/Parametros!$B$4)</f>
        <v/>
      </c>
      <c r="AO35">
        <f>IF(Datos!A35="","",MAX(0,ROUNDUP(AM35*(AN35*Parametros!$B$3)*SQRT((AL35+E35)),0)))</f>
        <v/>
      </c>
      <c r="AP35">
        <f>IF(Datos!A35="","",MAX(1,ROUNDUP(AN35*(AL35+E35)+AM35*(AN35*Parametros!$B$3)*SQRT((AL35+E35)),0)))</f>
        <v/>
      </c>
      <c r="AQ35">
        <f>IF(Datos!A35="","",IF(Datos!J35="","",Datos!J35))</f>
        <v/>
      </c>
      <c r="AR35">
        <f>IF(OR(Datos!A35="",AQ35=""),"",MAX(0,AQ35-AP35))</f>
        <v/>
      </c>
      <c r="AS35" s="10">
        <f>IF(OR(Datos!A35="",AQ35=""),"",AR35*C35)</f>
        <v/>
      </c>
      <c r="AT35" s="12">
        <f>IF(OR(Datos!A35="",AQ35=""),"",IF(AQ35&lt;AO35,"SI",""))</f>
        <v/>
      </c>
      <c r="AU35">
        <f>IF(Datos!A35="","",IF(AT35="SI","Reponer ahora",IF(AND(AQ35&lt;&gt;"",AR35&gt;0),"Bajar "&amp;TEXT(AR35,"#,##0")&amp;" un.","En rango")))</f>
        <v/>
      </c>
    </row>
    <row r="36">
      <c r="A36">
        <f>IF(Datos!A36="","",Datos!A36)</f>
        <v/>
      </c>
      <c r="B36">
        <f>IF(Datos!A36="","",Datos!B36)</f>
        <v/>
      </c>
      <c r="C36">
        <f>IF(Datos!A36="","",IFERROR(MAX(0,N(Datos!D36)),0))</f>
        <v/>
      </c>
      <c r="D36">
        <f>IF(Datos!A36="","",IFERROR(MAX(0,N(Datos!E36)),0))</f>
        <v/>
      </c>
      <c r="E36">
        <f>IF(Datos!A36="","",IFERROR(MAX(0,N(Datos!F36)),0))</f>
        <v/>
      </c>
      <c r="F36">
        <f>IF(Datos!A36="","",IFERROR(MAX(0,N(Datos!G36)),0))</f>
        <v/>
      </c>
      <c r="G36">
        <f>IF(Datos!A36="","",IFERROR(MAX(0,N(Datos!H36)),0))</f>
        <v/>
      </c>
      <c r="H36">
        <f>IF(Datos!A36="","",IFERROR(MAX(0,N(Datos!I36)),0))</f>
        <v/>
      </c>
      <c r="J36">
        <f>IF(Datos!A36="","",IF(MAX(C$2:C$301)-MIN(C$2:C$301)&lt;0.000000001,0.5,(C36-MIN(C$2:C$301))/(MAX(C$2:C$301)-MIN(C$2:C$301)))+0.000000001)</f>
        <v/>
      </c>
      <c r="K36">
        <f>IF(Datos!A36="","",IF(MAX(D$2:D$301)-MIN(D$2:D$301)&lt;0.000000001,0.5,(D36-MIN(D$2:D$301))/(MAX(D$2:D$301)-MIN(D$2:D$301)))+0.000000001)</f>
        <v/>
      </c>
      <c r="L36">
        <f>IF(Datos!A36="","",IF(MAX(E$2:E$301)-MIN(E$2:E$301)&lt;0.000000001,0.5,(E36-MIN(E$2:E$301))/(MAX(E$2:E$301)-MIN(E$2:E$301)))+0.000000001)</f>
        <v/>
      </c>
      <c r="M36">
        <f>IF(Datos!A36="","",IF(MAX(F$2:F$301)-MIN(F$2:F$301)&lt;0.000000001,0.5,(F36-MIN(F$2:F$301))/(MAX(F$2:F$301)-MIN(F$2:F$301)))+0.000000001)</f>
        <v/>
      </c>
      <c r="N36">
        <f>IF(Datos!A36="","",IF(MAX(G$2:G$301)-MIN(G$2:G$301)&lt;0.000000001,0.5,(G36-MIN(G$2:G$301))/(MAX(G$2:G$301)-MIN(G$2:G$301)))+0.000000001)</f>
        <v/>
      </c>
      <c r="O36">
        <f>IF(Datos!A36="","",IF(MAX(H$2:H$301)-MIN(H$2:H$301)&lt;0.000000001,0.5,(H36-MIN(H$2:H$301))/(MAX(H$2:H$301)-MIN(H$2:H$301)))+0.000000001)</f>
        <v/>
      </c>
      <c r="Q36">
        <f>IF(Datos!A36="","",(J36/SUM(J$2:J$301))*LN(J36/SUM(J$2:J$301)))</f>
        <v/>
      </c>
      <c r="R36">
        <f>IF(Datos!A36="","",(K36/SUM(K$2:K$301))*LN(K36/SUM(K$2:K$301)))</f>
        <v/>
      </c>
      <c r="S36">
        <f>IF(Datos!A36="","",(L36/SUM(L$2:L$301))*LN(L36/SUM(L$2:L$301)))</f>
        <v/>
      </c>
      <c r="T36">
        <f>IF(Datos!A36="","",(M36/SUM(M$2:M$301))*LN(M36/SUM(M$2:M$301)))</f>
        <v/>
      </c>
      <c r="U36">
        <f>IF(Datos!A36="","",(N36/SUM(N$2:N$301))*LN(N36/SUM(N$2:N$301)))</f>
        <v/>
      </c>
      <c r="V36">
        <f>IF(Datos!A36="","",(O36/SUM(O$2:O$301))*LN(O36/SUM(O$2:O$301)))</f>
        <v/>
      </c>
      <c r="X36">
        <f>IF(Datos!A36="","",IF(SUMSQ(C$2:C$301)=0,0,C36/SQRT(SUMSQ(C$2:C$301)))*$BE$2)</f>
        <v/>
      </c>
      <c r="Y36">
        <f>IF(Datos!A36="","",IF(SUMSQ(D$2:D$301)=0,0,D36/SQRT(SUMSQ(D$2:D$301)))*$BE$3)</f>
        <v/>
      </c>
      <c r="Z36">
        <f>IF(Datos!A36="","",IF(SUMSQ(E$2:E$301)=0,0,E36/SQRT(SUMSQ(E$2:E$301)))*$BE$4)</f>
        <v/>
      </c>
      <c r="AA36">
        <f>IF(Datos!A36="","",IF(SUMSQ(F$2:F$301)=0,0,F36/SQRT(SUMSQ(F$2:F$301)))*$BE$5)</f>
        <v/>
      </c>
      <c r="AB36">
        <f>IF(Datos!A36="","",IF(SUMSQ(G$2:G$301)=0,0,G36/SQRT(SUMSQ(G$2:G$301)))*$BE$6)</f>
        <v/>
      </c>
      <c r="AC36">
        <f>IF(Datos!A36="","",IF(SUMSQ(H$2:H$301)=0,0,H36/SQRT(SUMSQ(H$2:H$301)))*$BE$7)</f>
        <v/>
      </c>
      <c r="AE36">
        <f>IF(Datos!A36="","",SQRT(SUMXMY2(X36:AC36,$X$303:$AC$303)))</f>
        <v/>
      </c>
      <c r="AF36">
        <f>IF(Datos!A36="","",SQRT(SUMXMY2(X36:AC36,$X$304:$AC$304)))</f>
        <v/>
      </c>
      <c r="AG36" s="11">
        <f>IF(Datos!A36="","",IF(AE36+AF36&lt;0.000000001,0.5,AF36/(AE36+AF36)))</f>
        <v/>
      </c>
      <c r="AH36">
        <f>IF(Datos!A36="","",AG36*MAX(C36*D36,1))</f>
        <v/>
      </c>
      <c r="AI36">
        <f>IF(Datos!A36="","",SUMIF($AH$2:$AH$301,"&gt;="&amp;AH36,$AH$2:$AH$301)/SUM($AH$2:$AH$301))</f>
        <v/>
      </c>
      <c r="AJ36" s="12">
        <f>IF(Datos!A36="","",IF(AI36&lt;=Parametros!$B$13,"A",IF(AI36&lt;=Parametros!$B$14,"B","C")))</f>
        <v/>
      </c>
      <c r="AK36" s="13">
        <f>IF(Datos!A36="","",VLOOKUP(AJ36,Parametros!$A$8:$C$10,2,FALSE))</f>
        <v/>
      </c>
      <c r="AL36">
        <f>IF(Datos!A36="","",VLOOKUP(AJ36,Parametros!$A$8:$C$10,3,FALSE))</f>
        <v/>
      </c>
      <c r="AM36">
        <f>IF(Datos!A36="","",NORMSINV(AK36))</f>
        <v/>
      </c>
      <c r="AN36">
        <f>IF(Datos!A36="","",D36/Parametros!$B$4)</f>
        <v/>
      </c>
      <c r="AO36">
        <f>IF(Datos!A36="","",MAX(0,ROUNDUP(AM36*(AN36*Parametros!$B$3)*SQRT((AL36+E36)),0)))</f>
        <v/>
      </c>
      <c r="AP36">
        <f>IF(Datos!A36="","",MAX(1,ROUNDUP(AN36*(AL36+E36)+AM36*(AN36*Parametros!$B$3)*SQRT((AL36+E36)),0)))</f>
        <v/>
      </c>
      <c r="AQ36">
        <f>IF(Datos!A36="","",IF(Datos!J36="","",Datos!J36))</f>
        <v/>
      </c>
      <c r="AR36">
        <f>IF(OR(Datos!A36="",AQ36=""),"",MAX(0,AQ36-AP36))</f>
        <v/>
      </c>
      <c r="AS36" s="10">
        <f>IF(OR(Datos!A36="",AQ36=""),"",AR36*C36)</f>
        <v/>
      </c>
      <c r="AT36" s="12">
        <f>IF(OR(Datos!A36="",AQ36=""),"",IF(AQ36&lt;AO36,"SI",""))</f>
        <v/>
      </c>
      <c r="AU36">
        <f>IF(Datos!A36="","",IF(AT36="SI","Reponer ahora",IF(AND(AQ36&lt;&gt;"",AR36&gt;0),"Bajar "&amp;TEXT(AR36,"#,##0")&amp;" un.","En rango")))</f>
        <v/>
      </c>
    </row>
    <row r="37">
      <c r="A37">
        <f>IF(Datos!A37="","",Datos!A37)</f>
        <v/>
      </c>
      <c r="B37">
        <f>IF(Datos!A37="","",Datos!B37)</f>
        <v/>
      </c>
      <c r="C37">
        <f>IF(Datos!A37="","",IFERROR(MAX(0,N(Datos!D37)),0))</f>
        <v/>
      </c>
      <c r="D37">
        <f>IF(Datos!A37="","",IFERROR(MAX(0,N(Datos!E37)),0))</f>
        <v/>
      </c>
      <c r="E37">
        <f>IF(Datos!A37="","",IFERROR(MAX(0,N(Datos!F37)),0))</f>
        <v/>
      </c>
      <c r="F37">
        <f>IF(Datos!A37="","",IFERROR(MAX(0,N(Datos!G37)),0))</f>
        <v/>
      </c>
      <c r="G37">
        <f>IF(Datos!A37="","",IFERROR(MAX(0,N(Datos!H37)),0))</f>
        <v/>
      </c>
      <c r="H37">
        <f>IF(Datos!A37="","",IFERROR(MAX(0,N(Datos!I37)),0))</f>
        <v/>
      </c>
      <c r="J37">
        <f>IF(Datos!A37="","",IF(MAX(C$2:C$301)-MIN(C$2:C$301)&lt;0.000000001,0.5,(C37-MIN(C$2:C$301))/(MAX(C$2:C$301)-MIN(C$2:C$301)))+0.000000001)</f>
        <v/>
      </c>
      <c r="K37">
        <f>IF(Datos!A37="","",IF(MAX(D$2:D$301)-MIN(D$2:D$301)&lt;0.000000001,0.5,(D37-MIN(D$2:D$301))/(MAX(D$2:D$301)-MIN(D$2:D$301)))+0.000000001)</f>
        <v/>
      </c>
      <c r="L37">
        <f>IF(Datos!A37="","",IF(MAX(E$2:E$301)-MIN(E$2:E$301)&lt;0.000000001,0.5,(E37-MIN(E$2:E$301))/(MAX(E$2:E$301)-MIN(E$2:E$301)))+0.000000001)</f>
        <v/>
      </c>
      <c r="M37">
        <f>IF(Datos!A37="","",IF(MAX(F$2:F$301)-MIN(F$2:F$301)&lt;0.000000001,0.5,(F37-MIN(F$2:F$301))/(MAX(F$2:F$301)-MIN(F$2:F$301)))+0.000000001)</f>
        <v/>
      </c>
      <c r="N37">
        <f>IF(Datos!A37="","",IF(MAX(G$2:G$301)-MIN(G$2:G$301)&lt;0.000000001,0.5,(G37-MIN(G$2:G$301))/(MAX(G$2:G$301)-MIN(G$2:G$301)))+0.000000001)</f>
        <v/>
      </c>
      <c r="O37">
        <f>IF(Datos!A37="","",IF(MAX(H$2:H$301)-MIN(H$2:H$301)&lt;0.000000001,0.5,(H37-MIN(H$2:H$301))/(MAX(H$2:H$301)-MIN(H$2:H$301)))+0.000000001)</f>
        <v/>
      </c>
      <c r="Q37">
        <f>IF(Datos!A37="","",(J37/SUM(J$2:J$301))*LN(J37/SUM(J$2:J$301)))</f>
        <v/>
      </c>
      <c r="R37">
        <f>IF(Datos!A37="","",(K37/SUM(K$2:K$301))*LN(K37/SUM(K$2:K$301)))</f>
        <v/>
      </c>
      <c r="S37">
        <f>IF(Datos!A37="","",(L37/SUM(L$2:L$301))*LN(L37/SUM(L$2:L$301)))</f>
        <v/>
      </c>
      <c r="T37">
        <f>IF(Datos!A37="","",(M37/SUM(M$2:M$301))*LN(M37/SUM(M$2:M$301)))</f>
        <v/>
      </c>
      <c r="U37">
        <f>IF(Datos!A37="","",(N37/SUM(N$2:N$301))*LN(N37/SUM(N$2:N$301)))</f>
        <v/>
      </c>
      <c r="V37">
        <f>IF(Datos!A37="","",(O37/SUM(O$2:O$301))*LN(O37/SUM(O$2:O$301)))</f>
        <v/>
      </c>
      <c r="X37">
        <f>IF(Datos!A37="","",IF(SUMSQ(C$2:C$301)=0,0,C37/SQRT(SUMSQ(C$2:C$301)))*$BE$2)</f>
        <v/>
      </c>
      <c r="Y37">
        <f>IF(Datos!A37="","",IF(SUMSQ(D$2:D$301)=0,0,D37/SQRT(SUMSQ(D$2:D$301)))*$BE$3)</f>
        <v/>
      </c>
      <c r="Z37">
        <f>IF(Datos!A37="","",IF(SUMSQ(E$2:E$301)=0,0,E37/SQRT(SUMSQ(E$2:E$301)))*$BE$4)</f>
        <v/>
      </c>
      <c r="AA37">
        <f>IF(Datos!A37="","",IF(SUMSQ(F$2:F$301)=0,0,F37/SQRT(SUMSQ(F$2:F$301)))*$BE$5)</f>
        <v/>
      </c>
      <c r="AB37">
        <f>IF(Datos!A37="","",IF(SUMSQ(G$2:G$301)=0,0,G37/SQRT(SUMSQ(G$2:G$301)))*$BE$6)</f>
        <v/>
      </c>
      <c r="AC37">
        <f>IF(Datos!A37="","",IF(SUMSQ(H$2:H$301)=0,0,H37/SQRT(SUMSQ(H$2:H$301)))*$BE$7)</f>
        <v/>
      </c>
      <c r="AE37">
        <f>IF(Datos!A37="","",SQRT(SUMXMY2(X37:AC37,$X$303:$AC$303)))</f>
        <v/>
      </c>
      <c r="AF37">
        <f>IF(Datos!A37="","",SQRT(SUMXMY2(X37:AC37,$X$304:$AC$304)))</f>
        <v/>
      </c>
      <c r="AG37" s="11">
        <f>IF(Datos!A37="","",IF(AE37+AF37&lt;0.000000001,0.5,AF37/(AE37+AF37)))</f>
        <v/>
      </c>
      <c r="AH37">
        <f>IF(Datos!A37="","",AG37*MAX(C37*D37,1))</f>
        <v/>
      </c>
      <c r="AI37">
        <f>IF(Datos!A37="","",SUMIF($AH$2:$AH$301,"&gt;="&amp;AH37,$AH$2:$AH$301)/SUM($AH$2:$AH$301))</f>
        <v/>
      </c>
      <c r="AJ37" s="12">
        <f>IF(Datos!A37="","",IF(AI37&lt;=Parametros!$B$13,"A",IF(AI37&lt;=Parametros!$B$14,"B","C")))</f>
        <v/>
      </c>
      <c r="AK37" s="13">
        <f>IF(Datos!A37="","",VLOOKUP(AJ37,Parametros!$A$8:$C$10,2,FALSE))</f>
        <v/>
      </c>
      <c r="AL37">
        <f>IF(Datos!A37="","",VLOOKUP(AJ37,Parametros!$A$8:$C$10,3,FALSE))</f>
        <v/>
      </c>
      <c r="AM37">
        <f>IF(Datos!A37="","",NORMSINV(AK37))</f>
        <v/>
      </c>
      <c r="AN37">
        <f>IF(Datos!A37="","",D37/Parametros!$B$4)</f>
        <v/>
      </c>
      <c r="AO37">
        <f>IF(Datos!A37="","",MAX(0,ROUNDUP(AM37*(AN37*Parametros!$B$3)*SQRT((AL37+E37)),0)))</f>
        <v/>
      </c>
      <c r="AP37">
        <f>IF(Datos!A37="","",MAX(1,ROUNDUP(AN37*(AL37+E37)+AM37*(AN37*Parametros!$B$3)*SQRT((AL37+E37)),0)))</f>
        <v/>
      </c>
      <c r="AQ37">
        <f>IF(Datos!A37="","",IF(Datos!J37="","",Datos!J37))</f>
        <v/>
      </c>
      <c r="AR37">
        <f>IF(OR(Datos!A37="",AQ37=""),"",MAX(0,AQ37-AP37))</f>
        <v/>
      </c>
      <c r="AS37" s="10">
        <f>IF(OR(Datos!A37="",AQ37=""),"",AR37*C37)</f>
        <v/>
      </c>
      <c r="AT37" s="12">
        <f>IF(OR(Datos!A37="",AQ37=""),"",IF(AQ37&lt;AO37,"SI",""))</f>
        <v/>
      </c>
      <c r="AU37">
        <f>IF(Datos!A37="","",IF(AT37="SI","Reponer ahora",IF(AND(AQ37&lt;&gt;"",AR37&gt;0),"Bajar "&amp;TEXT(AR37,"#,##0")&amp;" un.","En rango")))</f>
        <v/>
      </c>
    </row>
    <row r="38">
      <c r="A38">
        <f>IF(Datos!A38="","",Datos!A38)</f>
        <v/>
      </c>
      <c r="B38">
        <f>IF(Datos!A38="","",Datos!B38)</f>
        <v/>
      </c>
      <c r="C38">
        <f>IF(Datos!A38="","",IFERROR(MAX(0,N(Datos!D38)),0))</f>
        <v/>
      </c>
      <c r="D38">
        <f>IF(Datos!A38="","",IFERROR(MAX(0,N(Datos!E38)),0))</f>
        <v/>
      </c>
      <c r="E38">
        <f>IF(Datos!A38="","",IFERROR(MAX(0,N(Datos!F38)),0))</f>
        <v/>
      </c>
      <c r="F38">
        <f>IF(Datos!A38="","",IFERROR(MAX(0,N(Datos!G38)),0))</f>
        <v/>
      </c>
      <c r="G38">
        <f>IF(Datos!A38="","",IFERROR(MAX(0,N(Datos!H38)),0))</f>
        <v/>
      </c>
      <c r="H38">
        <f>IF(Datos!A38="","",IFERROR(MAX(0,N(Datos!I38)),0))</f>
        <v/>
      </c>
      <c r="J38">
        <f>IF(Datos!A38="","",IF(MAX(C$2:C$301)-MIN(C$2:C$301)&lt;0.000000001,0.5,(C38-MIN(C$2:C$301))/(MAX(C$2:C$301)-MIN(C$2:C$301)))+0.000000001)</f>
        <v/>
      </c>
      <c r="K38">
        <f>IF(Datos!A38="","",IF(MAX(D$2:D$301)-MIN(D$2:D$301)&lt;0.000000001,0.5,(D38-MIN(D$2:D$301))/(MAX(D$2:D$301)-MIN(D$2:D$301)))+0.000000001)</f>
        <v/>
      </c>
      <c r="L38">
        <f>IF(Datos!A38="","",IF(MAX(E$2:E$301)-MIN(E$2:E$301)&lt;0.000000001,0.5,(E38-MIN(E$2:E$301))/(MAX(E$2:E$301)-MIN(E$2:E$301)))+0.000000001)</f>
        <v/>
      </c>
      <c r="M38">
        <f>IF(Datos!A38="","",IF(MAX(F$2:F$301)-MIN(F$2:F$301)&lt;0.000000001,0.5,(F38-MIN(F$2:F$301))/(MAX(F$2:F$301)-MIN(F$2:F$301)))+0.000000001)</f>
        <v/>
      </c>
      <c r="N38">
        <f>IF(Datos!A38="","",IF(MAX(G$2:G$301)-MIN(G$2:G$301)&lt;0.000000001,0.5,(G38-MIN(G$2:G$301))/(MAX(G$2:G$301)-MIN(G$2:G$301)))+0.000000001)</f>
        <v/>
      </c>
      <c r="O38">
        <f>IF(Datos!A38="","",IF(MAX(H$2:H$301)-MIN(H$2:H$301)&lt;0.000000001,0.5,(H38-MIN(H$2:H$301))/(MAX(H$2:H$301)-MIN(H$2:H$301)))+0.000000001)</f>
        <v/>
      </c>
      <c r="Q38">
        <f>IF(Datos!A38="","",(J38/SUM(J$2:J$301))*LN(J38/SUM(J$2:J$301)))</f>
        <v/>
      </c>
      <c r="R38">
        <f>IF(Datos!A38="","",(K38/SUM(K$2:K$301))*LN(K38/SUM(K$2:K$301)))</f>
        <v/>
      </c>
      <c r="S38">
        <f>IF(Datos!A38="","",(L38/SUM(L$2:L$301))*LN(L38/SUM(L$2:L$301)))</f>
        <v/>
      </c>
      <c r="T38">
        <f>IF(Datos!A38="","",(M38/SUM(M$2:M$301))*LN(M38/SUM(M$2:M$301)))</f>
        <v/>
      </c>
      <c r="U38">
        <f>IF(Datos!A38="","",(N38/SUM(N$2:N$301))*LN(N38/SUM(N$2:N$301)))</f>
        <v/>
      </c>
      <c r="V38">
        <f>IF(Datos!A38="","",(O38/SUM(O$2:O$301))*LN(O38/SUM(O$2:O$301)))</f>
        <v/>
      </c>
      <c r="X38">
        <f>IF(Datos!A38="","",IF(SUMSQ(C$2:C$301)=0,0,C38/SQRT(SUMSQ(C$2:C$301)))*$BE$2)</f>
        <v/>
      </c>
      <c r="Y38">
        <f>IF(Datos!A38="","",IF(SUMSQ(D$2:D$301)=0,0,D38/SQRT(SUMSQ(D$2:D$301)))*$BE$3)</f>
        <v/>
      </c>
      <c r="Z38">
        <f>IF(Datos!A38="","",IF(SUMSQ(E$2:E$301)=0,0,E38/SQRT(SUMSQ(E$2:E$301)))*$BE$4)</f>
        <v/>
      </c>
      <c r="AA38">
        <f>IF(Datos!A38="","",IF(SUMSQ(F$2:F$301)=0,0,F38/SQRT(SUMSQ(F$2:F$301)))*$BE$5)</f>
        <v/>
      </c>
      <c r="AB38">
        <f>IF(Datos!A38="","",IF(SUMSQ(G$2:G$301)=0,0,G38/SQRT(SUMSQ(G$2:G$301)))*$BE$6)</f>
        <v/>
      </c>
      <c r="AC38">
        <f>IF(Datos!A38="","",IF(SUMSQ(H$2:H$301)=0,0,H38/SQRT(SUMSQ(H$2:H$301)))*$BE$7)</f>
        <v/>
      </c>
      <c r="AE38">
        <f>IF(Datos!A38="","",SQRT(SUMXMY2(X38:AC38,$X$303:$AC$303)))</f>
        <v/>
      </c>
      <c r="AF38">
        <f>IF(Datos!A38="","",SQRT(SUMXMY2(X38:AC38,$X$304:$AC$304)))</f>
        <v/>
      </c>
      <c r="AG38" s="11">
        <f>IF(Datos!A38="","",IF(AE38+AF38&lt;0.000000001,0.5,AF38/(AE38+AF38)))</f>
        <v/>
      </c>
      <c r="AH38">
        <f>IF(Datos!A38="","",AG38*MAX(C38*D38,1))</f>
        <v/>
      </c>
      <c r="AI38">
        <f>IF(Datos!A38="","",SUMIF($AH$2:$AH$301,"&gt;="&amp;AH38,$AH$2:$AH$301)/SUM($AH$2:$AH$301))</f>
        <v/>
      </c>
      <c r="AJ38" s="12">
        <f>IF(Datos!A38="","",IF(AI38&lt;=Parametros!$B$13,"A",IF(AI38&lt;=Parametros!$B$14,"B","C")))</f>
        <v/>
      </c>
      <c r="AK38" s="13">
        <f>IF(Datos!A38="","",VLOOKUP(AJ38,Parametros!$A$8:$C$10,2,FALSE))</f>
        <v/>
      </c>
      <c r="AL38">
        <f>IF(Datos!A38="","",VLOOKUP(AJ38,Parametros!$A$8:$C$10,3,FALSE))</f>
        <v/>
      </c>
      <c r="AM38">
        <f>IF(Datos!A38="","",NORMSINV(AK38))</f>
        <v/>
      </c>
      <c r="AN38">
        <f>IF(Datos!A38="","",D38/Parametros!$B$4)</f>
        <v/>
      </c>
      <c r="AO38">
        <f>IF(Datos!A38="","",MAX(0,ROUNDUP(AM38*(AN38*Parametros!$B$3)*SQRT((AL38+E38)),0)))</f>
        <v/>
      </c>
      <c r="AP38">
        <f>IF(Datos!A38="","",MAX(1,ROUNDUP(AN38*(AL38+E38)+AM38*(AN38*Parametros!$B$3)*SQRT((AL38+E38)),0)))</f>
        <v/>
      </c>
      <c r="AQ38">
        <f>IF(Datos!A38="","",IF(Datos!J38="","",Datos!J38))</f>
        <v/>
      </c>
      <c r="AR38">
        <f>IF(OR(Datos!A38="",AQ38=""),"",MAX(0,AQ38-AP38))</f>
        <v/>
      </c>
      <c r="AS38" s="10">
        <f>IF(OR(Datos!A38="",AQ38=""),"",AR38*C38)</f>
        <v/>
      </c>
      <c r="AT38" s="12">
        <f>IF(OR(Datos!A38="",AQ38=""),"",IF(AQ38&lt;AO38,"SI",""))</f>
        <v/>
      </c>
      <c r="AU38">
        <f>IF(Datos!A38="","",IF(AT38="SI","Reponer ahora",IF(AND(AQ38&lt;&gt;"",AR38&gt;0),"Bajar "&amp;TEXT(AR38,"#,##0")&amp;" un.","En rango")))</f>
        <v/>
      </c>
    </row>
    <row r="39">
      <c r="A39">
        <f>IF(Datos!A39="","",Datos!A39)</f>
        <v/>
      </c>
      <c r="B39">
        <f>IF(Datos!A39="","",Datos!B39)</f>
        <v/>
      </c>
      <c r="C39">
        <f>IF(Datos!A39="","",IFERROR(MAX(0,N(Datos!D39)),0))</f>
        <v/>
      </c>
      <c r="D39">
        <f>IF(Datos!A39="","",IFERROR(MAX(0,N(Datos!E39)),0))</f>
        <v/>
      </c>
      <c r="E39">
        <f>IF(Datos!A39="","",IFERROR(MAX(0,N(Datos!F39)),0))</f>
        <v/>
      </c>
      <c r="F39">
        <f>IF(Datos!A39="","",IFERROR(MAX(0,N(Datos!G39)),0))</f>
        <v/>
      </c>
      <c r="G39">
        <f>IF(Datos!A39="","",IFERROR(MAX(0,N(Datos!H39)),0))</f>
        <v/>
      </c>
      <c r="H39">
        <f>IF(Datos!A39="","",IFERROR(MAX(0,N(Datos!I39)),0))</f>
        <v/>
      </c>
      <c r="J39">
        <f>IF(Datos!A39="","",IF(MAX(C$2:C$301)-MIN(C$2:C$301)&lt;0.000000001,0.5,(C39-MIN(C$2:C$301))/(MAX(C$2:C$301)-MIN(C$2:C$301)))+0.000000001)</f>
        <v/>
      </c>
      <c r="K39">
        <f>IF(Datos!A39="","",IF(MAX(D$2:D$301)-MIN(D$2:D$301)&lt;0.000000001,0.5,(D39-MIN(D$2:D$301))/(MAX(D$2:D$301)-MIN(D$2:D$301)))+0.000000001)</f>
        <v/>
      </c>
      <c r="L39">
        <f>IF(Datos!A39="","",IF(MAX(E$2:E$301)-MIN(E$2:E$301)&lt;0.000000001,0.5,(E39-MIN(E$2:E$301))/(MAX(E$2:E$301)-MIN(E$2:E$301)))+0.000000001)</f>
        <v/>
      </c>
      <c r="M39">
        <f>IF(Datos!A39="","",IF(MAX(F$2:F$301)-MIN(F$2:F$301)&lt;0.000000001,0.5,(F39-MIN(F$2:F$301))/(MAX(F$2:F$301)-MIN(F$2:F$301)))+0.000000001)</f>
        <v/>
      </c>
      <c r="N39">
        <f>IF(Datos!A39="","",IF(MAX(G$2:G$301)-MIN(G$2:G$301)&lt;0.000000001,0.5,(G39-MIN(G$2:G$301))/(MAX(G$2:G$301)-MIN(G$2:G$301)))+0.000000001)</f>
        <v/>
      </c>
      <c r="O39">
        <f>IF(Datos!A39="","",IF(MAX(H$2:H$301)-MIN(H$2:H$301)&lt;0.000000001,0.5,(H39-MIN(H$2:H$301))/(MAX(H$2:H$301)-MIN(H$2:H$301)))+0.000000001)</f>
        <v/>
      </c>
      <c r="Q39">
        <f>IF(Datos!A39="","",(J39/SUM(J$2:J$301))*LN(J39/SUM(J$2:J$301)))</f>
        <v/>
      </c>
      <c r="R39">
        <f>IF(Datos!A39="","",(K39/SUM(K$2:K$301))*LN(K39/SUM(K$2:K$301)))</f>
        <v/>
      </c>
      <c r="S39">
        <f>IF(Datos!A39="","",(L39/SUM(L$2:L$301))*LN(L39/SUM(L$2:L$301)))</f>
        <v/>
      </c>
      <c r="T39">
        <f>IF(Datos!A39="","",(M39/SUM(M$2:M$301))*LN(M39/SUM(M$2:M$301)))</f>
        <v/>
      </c>
      <c r="U39">
        <f>IF(Datos!A39="","",(N39/SUM(N$2:N$301))*LN(N39/SUM(N$2:N$301)))</f>
        <v/>
      </c>
      <c r="V39">
        <f>IF(Datos!A39="","",(O39/SUM(O$2:O$301))*LN(O39/SUM(O$2:O$301)))</f>
        <v/>
      </c>
      <c r="X39">
        <f>IF(Datos!A39="","",IF(SUMSQ(C$2:C$301)=0,0,C39/SQRT(SUMSQ(C$2:C$301)))*$BE$2)</f>
        <v/>
      </c>
      <c r="Y39">
        <f>IF(Datos!A39="","",IF(SUMSQ(D$2:D$301)=0,0,D39/SQRT(SUMSQ(D$2:D$301)))*$BE$3)</f>
        <v/>
      </c>
      <c r="Z39">
        <f>IF(Datos!A39="","",IF(SUMSQ(E$2:E$301)=0,0,E39/SQRT(SUMSQ(E$2:E$301)))*$BE$4)</f>
        <v/>
      </c>
      <c r="AA39">
        <f>IF(Datos!A39="","",IF(SUMSQ(F$2:F$301)=0,0,F39/SQRT(SUMSQ(F$2:F$301)))*$BE$5)</f>
        <v/>
      </c>
      <c r="AB39">
        <f>IF(Datos!A39="","",IF(SUMSQ(G$2:G$301)=0,0,G39/SQRT(SUMSQ(G$2:G$301)))*$BE$6)</f>
        <v/>
      </c>
      <c r="AC39">
        <f>IF(Datos!A39="","",IF(SUMSQ(H$2:H$301)=0,0,H39/SQRT(SUMSQ(H$2:H$301)))*$BE$7)</f>
        <v/>
      </c>
      <c r="AE39">
        <f>IF(Datos!A39="","",SQRT(SUMXMY2(X39:AC39,$X$303:$AC$303)))</f>
        <v/>
      </c>
      <c r="AF39">
        <f>IF(Datos!A39="","",SQRT(SUMXMY2(X39:AC39,$X$304:$AC$304)))</f>
        <v/>
      </c>
      <c r="AG39" s="11">
        <f>IF(Datos!A39="","",IF(AE39+AF39&lt;0.000000001,0.5,AF39/(AE39+AF39)))</f>
        <v/>
      </c>
      <c r="AH39">
        <f>IF(Datos!A39="","",AG39*MAX(C39*D39,1))</f>
        <v/>
      </c>
      <c r="AI39">
        <f>IF(Datos!A39="","",SUMIF($AH$2:$AH$301,"&gt;="&amp;AH39,$AH$2:$AH$301)/SUM($AH$2:$AH$301))</f>
        <v/>
      </c>
      <c r="AJ39" s="12">
        <f>IF(Datos!A39="","",IF(AI39&lt;=Parametros!$B$13,"A",IF(AI39&lt;=Parametros!$B$14,"B","C")))</f>
        <v/>
      </c>
      <c r="AK39" s="13">
        <f>IF(Datos!A39="","",VLOOKUP(AJ39,Parametros!$A$8:$C$10,2,FALSE))</f>
        <v/>
      </c>
      <c r="AL39">
        <f>IF(Datos!A39="","",VLOOKUP(AJ39,Parametros!$A$8:$C$10,3,FALSE))</f>
        <v/>
      </c>
      <c r="AM39">
        <f>IF(Datos!A39="","",NORMSINV(AK39))</f>
        <v/>
      </c>
      <c r="AN39">
        <f>IF(Datos!A39="","",D39/Parametros!$B$4)</f>
        <v/>
      </c>
      <c r="AO39">
        <f>IF(Datos!A39="","",MAX(0,ROUNDUP(AM39*(AN39*Parametros!$B$3)*SQRT((AL39+E39)),0)))</f>
        <v/>
      </c>
      <c r="AP39">
        <f>IF(Datos!A39="","",MAX(1,ROUNDUP(AN39*(AL39+E39)+AM39*(AN39*Parametros!$B$3)*SQRT((AL39+E39)),0)))</f>
        <v/>
      </c>
      <c r="AQ39">
        <f>IF(Datos!A39="","",IF(Datos!J39="","",Datos!J39))</f>
        <v/>
      </c>
      <c r="AR39">
        <f>IF(OR(Datos!A39="",AQ39=""),"",MAX(0,AQ39-AP39))</f>
        <v/>
      </c>
      <c r="AS39" s="10">
        <f>IF(OR(Datos!A39="",AQ39=""),"",AR39*C39)</f>
        <v/>
      </c>
      <c r="AT39" s="12">
        <f>IF(OR(Datos!A39="",AQ39=""),"",IF(AQ39&lt;AO39,"SI",""))</f>
        <v/>
      </c>
      <c r="AU39">
        <f>IF(Datos!A39="","",IF(AT39="SI","Reponer ahora",IF(AND(AQ39&lt;&gt;"",AR39&gt;0),"Bajar "&amp;TEXT(AR39,"#,##0")&amp;" un.","En rango")))</f>
        <v/>
      </c>
    </row>
    <row r="40">
      <c r="A40">
        <f>IF(Datos!A40="","",Datos!A40)</f>
        <v/>
      </c>
      <c r="B40">
        <f>IF(Datos!A40="","",Datos!B40)</f>
        <v/>
      </c>
      <c r="C40">
        <f>IF(Datos!A40="","",IFERROR(MAX(0,N(Datos!D40)),0))</f>
        <v/>
      </c>
      <c r="D40">
        <f>IF(Datos!A40="","",IFERROR(MAX(0,N(Datos!E40)),0))</f>
        <v/>
      </c>
      <c r="E40">
        <f>IF(Datos!A40="","",IFERROR(MAX(0,N(Datos!F40)),0))</f>
        <v/>
      </c>
      <c r="F40">
        <f>IF(Datos!A40="","",IFERROR(MAX(0,N(Datos!G40)),0))</f>
        <v/>
      </c>
      <c r="G40">
        <f>IF(Datos!A40="","",IFERROR(MAX(0,N(Datos!H40)),0))</f>
        <v/>
      </c>
      <c r="H40">
        <f>IF(Datos!A40="","",IFERROR(MAX(0,N(Datos!I40)),0))</f>
        <v/>
      </c>
      <c r="J40">
        <f>IF(Datos!A40="","",IF(MAX(C$2:C$301)-MIN(C$2:C$301)&lt;0.000000001,0.5,(C40-MIN(C$2:C$301))/(MAX(C$2:C$301)-MIN(C$2:C$301)))+0.000000001)</f>
        <v/>
      </c>
      <c r="K40">
        <f>IF(Datos!A40="","",IF(MAX(D$2:D$301)-MIN(D$2:D$301)&lt;0.000000001,0.5,(D40-MIN(D$2:D$301))/(MAX(D$2:D$301)-MIN(D$2:D$301)))+0.000000001)</f>
        <v/>
      </c>
      <c r="L40">
        <f>IF(Datos!A40="","",IF(MAX(E$2:E$301)-MIN(E$2:E$301)&lt;0.000000001,0.5,(E40-MIN(E$2:E$301))/(MAX(E$2:E$301)-MIN(E$2:E$301)))+0.000000001)</f>
        <v/>
      </c>
      <c r="M40">
        <f>IF(Datos!A40="","",IF(MAX(F$2:F$301)-MIN(F$2:F$301)&lt;0.000000001,0.5,(F40-MIN(F$2:F$301))/(MAX(F$2:F$301)-MIN(F$2:F$301)))+0.000000001)</f>
        <v/>
      </c>
      <c r="N40">
        <f>IF(Datos!A40="","",IF(MAX(G$2:G$301)-MIN(G$2:G$301)&lt;0.000000001,0.5,(G40-MIN(G$2:G$301))/(MAX(G$2:G$301)-MIN(G$2:G$301)))+0.000000001)</f>
        <v/>
      </c>
      <c r="O40">
        <f>IF(Datos!A40="","",IF(MAX(H$2:H$301)-MIN(H$2:H$301)&lt;0.000000001,0.5,(H40-MIN(H$2:H$301))/(MAX(H$2:H$301)-MIN(H$2:H$301)))+0.000000001)</f>
        <v/>
      </c>
      <c r="Q40">
        <f>IF(Datos!A40="","",(J40/SUM(J$2:J$301))*LN(J40/SUM(J$2:J$301)))</f>
        <v/>
      </c>
      <c r="R40">
        <f>IF(Datos!A40="","",(K40/SUM(K$2:K$301))*LN(K40/SUM(K$2:K$301)))</f>
        <v/>
      </c>
      <c r="S40">
        <f>IF(Datos!A40="","",(L40/SUM(L$2:L$301))*LN(L40/SUM(L$2:L$301)))</f>
        <v/>
      </c>
      <c r="T40">
        <f>IF(Datos!A40="","",(M40/SUM(M$2:M$301))*LN(M40/SUM(M$2:M$301)))</f>
        <v/>
      </c>
      <c r="U40">
        <f>IF(Datos!A40="","",(N40/SUM(N$2:N$301))*LN(N40/SUM(N$2:N$301)))</f>
        <v/>
      </c>
      <c r="V40">
        <f>IF(Datos!A40="","",(O40/SUM(O$2:O$301))*LN(O40/SUM(O$2:O$301)))</f>
        <v/>
      </c>
      <c r="X40">
        <f>IF(Datos!A40="","",IF(SUMSQ(C$2:C$301)=0,0,C40/SQRT(SUMSQ(C$2:C$301)))*$BE$2)</f>
        <v/>
      </c>
      <c r="Y40">
        <f>IF(Datos!A40="","",IF(SUMSQ(D$2:D$301)=0,0,D40/SQRT(SUMSQ(D$2:D$301)))*$BE$3)</f>
        <v/>
      </c>
      <c r="Z40">
        <f>IF(Datos!A40="","",IF(SUMSQ(E$2:E$301)=0,0,E40/SQRT(SUMSQ(E$2:E$301)))*$BE$4)</f>
        <v/>
      </c>
      <c r="AA40">
        <f>IF(Datos!A40="","",IF(SUMSQ(F$2:F$301)=0,0,F40/SQRT(SUMSQ(F$2:F$301)))*$BE$5)</f>
        <v/>
      </c>
      <c r="AB40">
        <f>IF(Datos!A40="","",IF(SUMSQ(G$2:G$301)=0,0,G40/SQRT(SUMSQ(G$2:G$301)))*$BE$6)</f>
        <v/>
      </c>
      <c r="AC40">
        <f>IF(Datos!A40="","",IF(SUMSQ(H$2:H$301)=0,0,H40/SQRT(SUMSQ(H$2:H$301)))*$BE$7)</f>
        <v/>
      </c>
      <c r="AE40">
        <f>IF(Datos!A40="","",SQRT(SUMXMY2(X40:AC40,$X$303:$AC$303)))</f>
        <v/>
      </c>
      <c r="AF40">
        <f>IF(Datos!A40="","",SQRT(SUMXMY2(X40:AC40,$X$304:$AC$304)))</f>
        <v/>
      </c>
      <c r="AG40" s="11">
        <f>IF(Datos!A40="","",IF(AE40+AF40&lt;0.000000001,0.5,AF40/(AE40+AF40)))</f>
        <v/>
      </c>
      <c r="AH40">
        <f>IF(Datos!A40="","",AG40*MAX(C40*D40,1))</f>
        <v/>
      </c>
      <c r="AI40">
        <f>IF(Datos!A40="","",SUMIF($AH$2:$AH$301,"&gt;="&amp;AH40,$AH$2:$AH$301)/SUM($AH$2:$AH$301))</f>
        <v/>
      </c>
      <c r="AJ40" s="12">
        <f>IF(Datos!A40="","",IF(AI40&lt;=Parametros!$B$13,"A",IF(AI40&lt;=Parametros!$B$14,"B","C")))</f>
        <v/>
      </c>
      <c r="AK40" s="13">
        <f>IF(Datos!A40="","",VLOOKUP(AJ40,Parametros!$A$8:$C$10,2,FALSE))</f>
        <v/>
      </c>
      <c r="AL40">
        <f>IF(Datos!A40="","",VLOOKUP(AJ40,Parametros!$A$8:$C$10,3,FALSE))</f>
        <v/>
      </c>
      <c r="AM40">
        <f>IF(Datos!A40="","",NORMSINV(AK40))</f>
        <v/>
      </c>
      <c r="AN40">
        <f>IF(Datos!A40="","",D40/Parametros!$B$4)</f>
        <v/>
      </c>
      <c r="AO40">
        <f>IF(Datos!A40="","",MAX(0,ROUNDUP(AM40*(AN40*Parametros!$B$3)*SQRT((AL40+E40)),0)))</f>
        <v/>
      </c>
      <c r="AP40">
        <f>IF(Datos!A40="","",MAX(1,ROUNDUP(AN40*(AL40+E40)+AM40*(AN40*Parametros!$B$3)*SQRT((AL40+E40)),0)))</f>
        <v/>
      </c>
      <c r="AQ40">
        <f>IF(Datos!A40="","",IF(Datos!J40="","",Datos!J40))</f>
        <v/>
      </c>
      <c r="AR40">
        <f>IF(OR(Datos!A40="",AQ40=""),"",MAX(0,AQ40-AP40))</f>
        <v/>
      </c>
      <c r="AS40" s="10">
        <f>IF(OR(Datos!A40="",AQ40=""),"",AR40*C40)</f>
        <v/>
      </c>
      <c r="AT40" s="12">
        <f>IF(OR(Datos!A40="",AQ40=""),"",IF(AQ40&lt;AO40,"SI",""))</f>
        <v/>
      </c>
      <c r="AU40">
        <f>IF(Datos!A40="","",IF(AT40="SI","Reponer ahora",IF(AND(AQ40&lt;&gt;"",AR40&gt;0),"Bajar "&amp;TEXT(AR40,"#,##0")&amp;" un.","En rango")))</f>
        <v/>
      </c>
    </row>
    <row r="41">
      <c r="A41">
        <f>IF(Datos!A41="","",Datos!A41)</f>
        <v/>
      </c>
      <c r="B41">
        <f>IF(Datos!A41="","",Datos!B41)</f>
        <v/>
      </c>
      <c r="C41">
        <f>IF(Datos!A41="","",IFERROR(MAX(0,N(Datos!D41)),0))</f>
        <v/>
      </c>
      <c r="D41">
        <f>IF(Datos!A41="","",IFERROR(MAX(0,N(Datos!E41)),0))</f>
        <v/>
      </c>
      <c r="E41">
        <f>IF(Datos!A41="","",IFERROR(MAX(0,N(Datos!F41)),0))</f>
        <v/>
      </c>
      <c r="F41">
        <f>IF(Datos!A41="","",IFERROR(MAX(0,N(Datos!G41)),0))</f>
        <v/>
      </c>
      <c r="G41">
        <f>IF(Datos!A41="","",IFERROR(MAX(0,N(Datos!H41)),0))</f>
        <v/>
      </c>
      <c r="H41">
        <f>IF(Datos!A41="","",IFERROR(MAX(0,N(Datos!I41)),0))</f>
        <v/>
      </c>
      <c r="J41">
        <f>IF(Datos!A41="","",IF(MAX(C$2:C$301)-MIN(C$2:C$301)&lt;0.000000001,0.5,(C41-MIN(C$2:C$301))/(MAX(C$2:C$301)-MIN(C$2:C$301)))+0.000000001)</f>
        <v/>
      </c>
      <c r="K41">
        <f>IF(Datos!A41="","",IF(MAX(D$2:D$301)-MIN(D$2:D$301)&lt;0.000000001,0.5,(D41-MIN(D$2:D$301))/(MAX(D$2:D$301)-MIN(D$2:D$301)))+0.000000001)</f>
        <v/>
      </c>
      <c r="L41">
        <f>IF(Datos!A41="","",IF(MAX(E$2:E$301)-MIN(E$2:E$301)&lt;0.000000001,0.5,(E41-MIN(E$2:E$301))/(MAX(E$2:E$301)-MIN(E$2:E$301)))+0.000000001)</f>
        <v/>
      </c>
      <c r="M41">
        <f>IF(Datos!A41="","",IF(MAX(F$2:F$301)-MIN(F$2:F$301)&lt;0.000000001,0.5,(F41-MIN(F$2:F$301))/(MAX(F$2:F$301)-MIN(F$2:F$301)))+0.000000001)</f>
        <v/>
      </c>
      <c r="N41">
        <f>IF(Datos!A41="","",IF(MAX(G$2:G$301)-MIN(G$2:G$301)&lt;0.000000001,0.5,(G41-MIN(G$2:G$301))/(MAX(G$2:G$301)-MIN(G$2:G$301)))+0.000000001)</f>
        <v/>
      </c>
      <c r="O41">
        <f>IF(Datos!A41="","",IF(MAX(H$2:H$301)-MIN(H$2:H$301)&lt;0.000000001,0.5,(H41-MIN(H$2:H$301))/(MAX(H$2:H$301)-MIN(H$2:H$301)))+0.000000001)</f>
        <v/>
      </c>
      <c r="Q41">
        <f>IF(Datos!A41="","",(J41/SUM(J$2:J$301))*LN(J41/SUM(J$2:J$301)))</f>
        <v/>
      </c>
      <c r="R41">
        <f>IF(Datos!A41="","",(K41/SUM(K$2:K$301))*LN(K41/SUM(K$2:K$301)))</f>
        <v/>
      </c>
      <c r="S41">
        <f>IF(Datos!A41="","",(L41/SUM(L$2:L$301))*LN(L41/SUM(L$2:L$301)))</f>
        <v/>
      </c>
      <c r="T41">
        <f>IF(Datos!A41="","",(M41/SUM(M$2:M$301))*LN(M41/SUM(M$2:M$301)))</f>
        <v/>
      </c>
      <c r="U41">
        <f>IF(Datos!A41="","",(N41/SUM(N$2:N$301))*LN(N41/SUM(N$2:N$301)))</f>
        <v/>
      </c>
      <c r="V41">
        <f>IF(Datos!A41="","",(O41/SUM(O$2:O$301))*LN(O41/SUM(O$2:O$301)))</f>
        <v/>
      </c>
      <c r="X41">
        <f>IF(Datos!A41="","",IF(SUMSQ(C$2:C$301)=0,0,C41/SQRT(SUMSQ(C$2:C$301)))*$BE$2)</f>
        <v/>
      </c>
      <c r="Y41">
        <f>IF(Datos!A41="","",IF(SUMSQ(D$2:D$301)=0,0,D41/SQRT(SUMSQ(D$2:D$301)))*$BE$3)</f>
        <v/>
      </c>
      <c r="Z41">
        <f>IF(Datos!A41="","",IF(SUMSQ(E$2:E$301)=0,0,E41/SQRT(SUMSQ(E$2:E$301)))*$BE$4)</f>
        <v/>
      </c>
      <c r="AA41">
        <f>IF(Datos!A41="","",IF(SUMSQ(F$2:F$301)=0,0,F41/SQRT(SUMSQ(F$2:F$301)))*$BE$5)</f>
        <v/>
      </c>
      <c r="AB41">
        <f>IF(Datos!A41="","",IF(SUMSQ(G$2:G$301)=0,0,G41/SQRT(SUMSQ(G$2:G$301)))*$BE$6)</f>
        <v/>
      </c>
      <c r="AC41">
        <f>IF(Datos!A41="","",IF(SUMSQ(H$2:H$301)=0,0,H41/SQRT(SUMSQ(H$2:H$301)))*$BE$7)</f>
        <v/>
      </c>
      <c r="AE41">
        <f>IF(Datos!A41="","",SQRT(SUMXMY2(X41:AC41,$X$303:$AC$303)))</f>
        <v/>
      </c>
      <c r="AF41">
        <f>IF(Datos!A41="","",SQRT(SUMXMY2(X41:AC41,$X$304:$AC$304)))</f>
        <v/>
      </c>
      <c r="AG41" s="11">
        <f>IF(Datos!A41="","",IF(AE41+AF41&lt;0.000000001,0.5,AF41/(AE41+AF41)))</f>
        <v/>
      </c>
      <c r="AH41">
        <f>IF(Datos!A41="","",AG41*MAX(C41*D41,1))</f>
        <v/>
      </c>
      <c r="AI41">
        <f>IF(Datos!A41="","",SUMIF($AH$2:$AH$301,"&gt;="&amp;AH41,$AH$2:$AH$301)/SUM($AH$2:$AH$301))</f>
        <v/>
      </c>
      <c r="AJ41" s="12">
        <f>IF(Datos!A41="","",IF(AI41&lt;=Parametros!$B$13,"A",IF(AI41&lt;=Parametros!$B$14,"B","C")))</f>
        <v/>
      </c>
      <c r="AK41" s="13">
        <f>IF(Datos!A41="","",VLOOKUP(AJ41,Parametros!$A$8:$C$10,2,FALSE))</f>
        <v/>
      </c>
      <c r="AL41">
        <f>IF(Datos!A41="","",VLOOKUP(AJ41,Parametros!$A$8:$C$10,3,FALSE))</f>
        <v/>
      </c>
      <c r="AM41">
        <f>IF(Datos!A41="","",NORMSINV(AK41))</f>
        <v/>
      </c>
      <c r="AN41">
        <f>IF(Datos!A41="","",D41/Parametros!$B$4)</f>
        <v/>
      </c>
      <c r="AO41">
        <f>IF(Datos!A41="","",MAX(0,ROUNDUP(AM41*(AN41*Parametros!$B$3)*SQRT((AL41+E41)),0)))</f>
        <v/>
      </c>
      <c r="AP41">
        <f>IF(Datos!A41="","",MAX(1,ROUNDUP(AN41*(AL41+E41)+AM41*(AN41*Parametros!$B$3)*SQRT((AL41+E41)),0)))</f>
        <v/>
      </c>
      <c r="AQ41">
        <f>IF(Datos!A41="","",IF(Datos!J41="","",Datos!J41))</f>
        <v/>
      </c>
      <c r="AR41">
        <f>IF(OR(Datos!A41="",AQ41=""),"",MAX(0,AQ41-AP41))</f>
        <v/>
      </c>
      <c r="AS41" s="10">
        <f>IF(OR(Datos!A41="",AQ41=""),"",AR41*C41)</f>
        <v/>
      </c>
      <c r="AT41" s="12">
        <f>IF(OR(Datos!A41="",AQ41=""),"",IF(AQ41&lt;AO41,"SI",""))</f>
        <v/>
      </c>
      <c r="AU41">
        <f>IF(Datos!A41="","",IF(AT41="SI","Reponer ahora",IF(AND(AQ41&lt;&gt;"",AR41&gt;0),"Bajar "&amp;TEXT(AR41,"#,##0")&amp;" un.","En rango")))</f>
        <v/>
      </c>
    </row>
    <row r="42">
      <c r="A42">
        <f>IF(Datos!A42="","",Datos!A42)</f>
        <v/>
      </c>
      <c r="B42">
        <f>IF(Datos!A42="","",Datos!B42)</f>
        <v/>
      </c>
      <c r="C42">
        <f>IF(Datos!A42="","",IFERROR(MAX(0,N(Datos!D42)),0))</f>
        <v/>
      </c>
      <c r="D42">
        <f>IF(Datos!A42="","",IFERROR(MAX(0,N(Datos!E42)),0))</f>
        <v/>
      </c>
      <c r="E42">
        <f>IF(Datos!A42="","",IFERROR(MAX(0,N(Datos!F42)),0))</f>
        <v/>
      </c>
      <c r="F42">
        <f>IF(Datos!A42="","",IFERROR(MAX(0,N(Datos!G42)),0))</f>
        <v/>
      </c>
      <c r="G42">
        <f>IF(Datos!A42="","",IFERROR(MAX(0,N(Datos!H42)),0))</f>
        <v/>
      </c>
      <c r="H42">
        <f>IF(Datos!A42="","",IFERROR(MAX(0,N(Datos!I42)),0))</f>
        <v/>
      </c>
      <c r="J42">
        <f>IF(Datos!A42="","",IF(MAX(C$2:C$301)-MIN(C$2:C$301)&lt;0.000000001,0.5,(C42-MIN(C$2:C$301))/(MAX(C$2:C$301)-MIN(C$2:C$301)))+0.000000001)</f>
        <v/>
      </c>
      <c r="K42">
        <f>IF(Datos!A42="","",IF(MAX(D$2:D$301)-MIN(D$2:D$301)&lt;0.000000001,0.5,(D42-MIN(D$2:D$301))/(MAX(D$2:D$301)-MIN(D$2:D$301)))+0.000000001)</f>
        <v/>
      </c>
      <c r="L42">
        <f>IF(Datos!A42="","",IF(MAX(E$2:E$301)-MIN(E$2:E$301)&lt;0.000000001,0.5,(E42-MIN(E$2:E$301))/(MAX(E$2:E$301)-MIN(E$2:E$301)))+0.000000001)</f>
        <v/>
      </c>
      <c r="M42">
        <f>IF(Datos!A42="","",IF(MAX(F$2:F$301)-MIN(F$2:F$301)&lt;0.000000001,0.5,(F42-MIN(F$2:F$301))/(MAX(F$2:F$301)-MIN(F$2:F$301)))+0.000000001)</f>
        <v/>
      </c>
      <c r="N42">
        <f>IF(Datos!A42="","",IF(MAX(G$2:G$301)-MIN(G$2:G$301)&lt;0.000000001,0.5,(G42-MIN(G$2:G$301))/(MAX(G$2:G$301)-MIN(G$2:G$301)))+0.000000001)</f>
        <v/>
      </c>
      <c r="O42">
        <f>IF(Datos!A42="","",IF(MAX(H$2:H$301)-MIN(H$2:H$301)&lt;0.000000001,0.5,(H42-MIN(H$2:H$301))/(MAX(H$2:H$301)-MIN(H$2:H$301)))+0.000000001)</f>
        <v/>
      </c>
      <c r="Q42">
        <f>IF(Datos!A42="","",(J42/SUM(J$2:J$301))*LN(J42/SUM(J$2:J$301)))</f>
        <v/>
      </c>
      <c r="R42">
        <f>IF(Datos!A42="","",(K42/SUM(K$2:K$301))*LN(K42/SUM(K$2:K$301)))</f>
        <v/>
      </c>
      <c r="S42">
        <f>IF(Datos!A42="","",(L42/SUM(L$2:L$301))*LN(L42/SUM(L$2:L$301)))</f>
        <v/>
      </c>
      <c r="T42">
        <f>IF(Datos!A42="","",(M42/SUM(M$2:M$301))*LN(M42/SUM(M$2:M$301)))</f>
        <v/>
      </c>
      <c r="U42">
        <f>IF(Datos!A42="","",(N42/SUM(N$2:N$301))*LN(N42/SUM(N$2:N$301)))</f>
        <v/>
      </c>
      <c r="V42">
        <f>IF(Datos!A42="","",(O42/SUM(O$2:O$301))*LN(O42/SUM(O$2:O$301)))</f>
        <v/>
      </c>
      <c r="X42">
        <f>IF(Datos!A42="","",IF(SUMSQ(C$2:C$301)=0,0,C42/SQRT(SUMSQ(C$2:C$301)))*$BE$2)</f>
        <v/>
      </c>
      <c r="Y42">
        <f>IF(Datos!A42="","",IF(SUMSQ(D$2:D$301)=0,0,D42/SQRT(SUMSQ(D$2:D$301)))*$BE$3)</f>
        <v/>
      </c>
      <c r="Z42">
        <f>IF(Datos!A42="","",IF(SUMSQ(E$2:E$301)=0,0,E42/SQRT(SUMSQ(E$2:E$301)))*$BE$4)</f>
        <v/>
      </c>
      <c r="AA42">
        <f>IF(Datos!A42="","",IF(SUMSQ(F$2:F$301)=0,0,F42/SQRT(SUMSQ(F$2:F$301)))*$BE$5)</f>
        <v/>
      </c>
      <c r="AB42">
        <f>IF(Datos!A42="","",IF(SUMSQ(G$2:G$301)=0,0,G42/SQRT(SUMSQ(G$2:G$301)))*$BE$6)</f>
        <v/>
      </c>
      <c r="AC42">
        <f>IF(Datos!A42="","",IF(SUMSQ(H$2:H$301)=0,0,H42/SQRT(SUMSQ(H$2:H$301)))*$BE$7)</f>
        <v/>
      </c>
      <c r="AE42">
        <f>IF(Datos!A42="","",SQRT(SUMXMY2(X42:AC42,$X$303:$AC$303)))</f>
        <v/>
      </c>
      <c r="AF42">
        <f>IF(Datos!A42="","",SQRT(SUMXMY2(X42:AC42,$X$304:$AC$304)))</f>
        <v/>
      </c>
      <c r="AG42" s="11">
        <f>IF(Datos!A42="","",IF(AE42+AF42&lt;0.000000001,0.5,AF42/(AE42+AF42)))</f>
        <v/>
      </c>
      <c r="AH42">
        <f>IF(Datos!A42="","",AG42*MAX(C42*D42,1))</f>
        <v/>
      </c>
      <c r="AI42">
        <f>IF(Datos!A42="","",SUMIF($AH$2:$AH$301,"&gt;="&amp;AH42,$AH$2:$AH$301)/SUM($AH$2:$AH$301))</f>
        <v/>
      </c>
      <c r="AJ42" s="12">
        <f>IF(Datos!A42="","",IF(AI42&lt;=Parametros!$B$13,"A",IF(AI42&lt;=Parametros!$B$14,"B","C")))</f>
        <v/>
      </c>
      <c r="AK42" s="13">
        <f>IF(Datos!A42="","",VLOOKUP(AJ42,Parametros!$A$8:$C$10,2,FALSE))</f>
        <v/>
      </c>
      <c r="AL42">
        <f>IF(Datos!A42="","",VLOOKUP(AJ42,Parametros!$A$8:$C$10,3,FALSE))</f>
        <v/>
      </c>
      <c r="AM42">
        <f>IF(Datos!A42="","",NORMSINV(AK42))</f>
        <v/>
      </c>
      <c r="AN42">
        <f>IF(Datos!A42="","",D42/Parametros!$B$4)</f>
        <v/>
      </c>
      <c r="AO42">
        <f>IF(Datos!A42="","",MAX(0,ROUNDUP(AM42*(AN42*Parametros!$B$3)*SQRT((AL42+E42)),0)))</f>
        <v/>
      </c>
      <c r="AP42">
        <f>IF(Datos!A42="","",MAX(1,ROUNDUP(AN42*(AL42+E42)+AM42*(AN42*Parametros!$B$3)*SQRT((AL42+E42)),0)))</f>
        <v/>
      </c>
      <c r="AQ42">
        <f>IF(Datos!A42="","",IF(Datos!J42="","",Datos!J42))</f>
        <v/>
      </c>
      <c r="AR42">
        <f>IF(OR(Datos!A42="",AQ42=""),"",MAX(0,AQ42-AP42))</f>
        <v/>
      </c>
      <c r="AS42" s="10">
        <f>IF(OR(Datos!A42="",AQ42=""),"",AR42*C42)</f>
        <v/>
      </c>
      <c r="AT42" s="12">
        <f>IF(OR(Datos!A42="",AQ42=""),"",IF(AQ42&lt;AO42,"SI",""))</f>
        <v/>
      </c>
      <c r="AU42">
        <f>IF(Datos!A42="","",IF(AT42="SI","Reponer ahora",IF(AND(AQ42&lt;&gt;"",AR42&gt;0),"Bajar "&amp;TEXT(AR42,"#,##0")&amp;" un.","En rango")))</f>
        <v/>
      </c>
    </row>
    <row r="43">
      <c r="A43">
        <f>IF(Datos!A43="","",Datos!A43)</f>
        <v/>
      </c>
      <c r="B43">
        <f>IF(Datos!A43="","",Datos!B43)</f>
        <v/>
      </c>
      <c r="C43">
        <f>IF(Datos!A43="","",IFERROR(MAX(0,N(Datos!D43)),0))</f>
        <v/>
      </c>
      <c r="D43">
        <f>IF(Datos!A43="","",IFERROR(MAX(0,N(Datos!E43)),0))</f>
        <v/>
      </c>
      <c r="E43">
        <f>IF(Datos!A43="","",IFERROR(MAX(0,N(Datos!F43)),0))</f>
        <v/>
      </c>
      <c r="F43">
        <f>IF(Datos!A43="","",IFERROR(MAX(0,N(Datos!G43)),0))</f>
        <v/>
      </c>
      <c r="G43">
        <f>IF(Datos!A43="","",IFERROR(MAX(0,N(Datos!H43)),0))</f>
        <v/>
      </c>
      <c r="H43">
        <f>IF(Datos!A43="","",IFERROR(MAX(0,N(Datos!I43)),0))</f>
        <v/>
      </c>
      <c r="J43">
        <f>IF(Datos!A43="","",IF(MAX(C$2:C$301)-MIN(C$2:C$301)&lt;0.000000001,0.5,(C43-MIN(C$2:C$301))/(MAX(C$2:C$301)-MIN(C$2:C$301)))+0.000000001)</f>
        <v/>
      </c>
      <c r="K43">
        <f>IF(Datos!A43="","",IF(MAX(D$2:D$301)-MIN(D$2:D$301)&lt;0.000000001,0.5,(D43-MIN(D$2:D$301))/(MAX(D$2:D$301)-MIN(D$2:D$301)))+0.000000001)</f>
        <v/>
      </c>
      <c r="L43">
        <f>IF(Datos!A43="","",IF(MAX(E$2:E$301)-MIN(E$2:E$301)&lt;0.000000001,0.5,(E43-MIN(E$2:E$301))/(MAX(E$2:E$301)-MIN(E$2:E$301)))+0.000000001)</f>
        <v/>
      </c>
      <c r="M43">
        <f>IF(Datos!A43="","",IF(MAX(F$2:F$301)-MIN(F$2:F$301)&lt;0.000000001,0.5,(F43-MIN(F$2:F$301))/(MAX(F$2:F$301)-MIN(F$2:F$301)))+0.000000001)</f>
        <v/>
      </c>
      <c r="N43">
        <f>IF(Datos!A43="","",IF(MAX(G$2:G$301)-MIN(G$2:G$301)&lt;0.000000001,0.5,(G43-MIN(G$2:G$301))/(MAX(G$2:G$301)-MIN(G$2:G$301)))+0.000000001)</f>
        <v/>
      </c>
      <c r="O43">
        <f>IF(Datos!A43="","",IF(MAX(H$2:H$301)-MIN(H$2:H$301)&lt;0.000000001,0.5,(H43-MIN(H$2:H$301))/(MAX(H$2:H$301)-MIN(H$2:H$301)))+0.000000001)</f>
        <v/>
      </c>
      <c r="Q43">
        <f>IF(Datos!A43="","",(J43/SUM(J$2:J$301))*LN(J43/SUM(J$2:J$301)))</f>
        <v/>
      </c>
      <c r="R43">
        <f>IF(Datos!A43="","",(K43/SUM(K$2:K$301))*LN(K43/SUM(K$2:K$301)))</f>
        <v/>
      </c>
      <c r="S43">
        <f>IF(Datos!A43="","",(L43/SUM(L$2:L$301))*LN(L43/SUM(L$2:L$301)))</f>
        <v/>
      </c>
      <c r="T43">
        <f>IF(Datos!A43="","",(M43/SUM(M$2:M$301))*LN(M43/SUM(M$2:M$301)))</f>
        <v/>
      </c>
      <c r="U43">
        <f>IF(Datos!A43="","",(N43/SUM(N$2:N$301))*LN(N43/SUM(N$2:N$301)))</f>
        <v/>
      </c>
      <c r="V43">
        <f>IF(Datos!A43="","",(O43/SUM(O$2:O$301))*LN(O43/SUM(O$2:O$301)))</f>
        <v/>
      </c>
      <c r="X43">
        <f>IF(Datos!A43="","",IF(SUMSQ(C$2:C$301)=0,0,C43/SQRT(SUMSQ(C$2:C$301)))*$BE$2)</f>
        <v/>
      </c>
      <c r="Y43">
        <f>IF(Datos!A43="","",IF(SUMSQ(D$2:D$301)=0,0,D43/SQRT(SUMSQ(D$2:D$301)))*$BE$3)</f>
        <v/>
      </c>
      <c r="Z43">
        <f>IF(Datos!A43="","",IF(SUMSQ(E$2:E$301)=0,0,E43/SQRT(SUMSQ(E$2:E$301)))*$BE$4)</f>
        <v/>
      </c>
      <c r="AA43">
        <f>IF(Datos!A43="","",IF(SUMSQ(F$2:F$301)=0,0,F43/SQRT(SUMSQ(F$2:F$301)))*$BE$5)</f>
        <v/>
      </c>
      <c r="AB43">
        <f>IF(Datos!A43="","",IF(SUMSQ(G$2:G$301)=0,0,G43/SQRT(SUMSQ(G$2:G$301)))*$BE$6)</f>
        <v/>
      </c>
      <c r="AC43">
        <f>IF(Datos!A43="","",IF(SUMSQ(H$2:H$301)=0,0,H43/SQRT(SUMSQ(H$2:H$301)))*$BE$7)</f>
        <v/>
      </c>
      <c r="AE43">
        <f>IF(Datos!A43="","",SQRT(SUMXMY2(X43:AC43,$X$303:$AC$303)))</f>
        <v/>
      </c>
      <c r="AF43">
        <f>IF(Datos!A43="","",SQRT(SUMXMY2(X43:AC43,$X$304:$AC$304)))</f>
        <v/>
      </c>
      <c r="AG43" s="11">
        <f>IF(Datos!A43="","",IF(AE43+AF43&lt;0.000000001,0.5,AF43/(AE43+AF43)))</f>
        <v/>
      </c>
      <c r="AH43">
        <f>IF(Datos!A43="","",AG43*MAX(C43*D43,1))</f>
        <v/>
      </c>
      <c r="AI43">
        <f>IF(Datos!A43="","",SUMIF($AH$2:$AH$301,"&gt;="&amp;AH43,$AH$2:$AH$301)/SUM($AH$2:$AH$301))</f>
        <v/>
      </c>
      <c r="AJ43" s="12">
        <f>IF(Datos!A43="","",IF(AI43&lt;=Parametros!$B$13,"A",IF(AI43&lt;=Parametros!$B$14,"B","C")))</f>
        <v/>
      </c>
      <c r="AK43" s="13">
        <f>IF(Datos!A43="","",VLOOKUP(AJ43,Parametros!$A$8:$C$10,2,FALSE))</f>
        <v/>
      </c>
      <c r="AL43">
        <f>IF(Datos!A43="","",VLOOKUP(AJ43,Parametros!$A$8:$C$10,3,FALSE))</f>
        <v/>
      </c>
      <c r="AM43">
        <f>IF(Datos!A43="","",NORMSINV(AK43))</f>
        <v/>
      </c>
      <c r="AN43">
        <f>IF(Datos!A43="","",D43/Parametros!$B$4)</f>
        <v/>
      </c>
      <c r="AO43">
        <f>IF(Datos!A43="","",MAX(0,ROUNDUP(AM43*(AN43*Parametros!$B$3)*SQRT((AL43+E43)),0)))</f>
        <v/>
      </c>
      <c r="AP43">
        <f>IF(Datos!A43="","",MAX(1,ROUNDUP(AN43*(AL43+E43)+AM43*(AN43*Parametros!$B$3)*SQRT((AL43+E43)),0)))</f>
        <v/>
      </c>
      <c r="AQ43">
        <f>IF(Datos!A43="","",IF(Datos!J43="","",Datos!J43))</f>
        <v/>
      </c>
      <c r="AR43">
        <f>IF(OR(Datos!A43="",AQ43=""),"",MAX(0,AQ43-AP43))</f>
        <v/>
      </c>
      <c r="AS43" s="10">
        <f>IF(OR(Datos!A43="",AQ43=""),"",AR43*C43)</f>
        <v/>
      </c>
      <c r="AT43" s="12">
        <f>IF(OR(Datos!A43="",AQ43=""),"",IF(AQ43&lt;AO43,"SI",""))</f>
        <v/>
      </c>
      <c r="AU43">
        <f>IF(Datos!A43="","",IF(AT43="SI","Reponer ahora",IF(AND(AQ43&lt;&gt;"",AR43&gt;0),"Bajar "&amp;TEXT(AR43,"#,##0")&amp;" un.","En rango")))</f>
        <v/>
      </c>
    </row>
    <row r="44">
      <c r="A44">
        <f>IF(Datos!A44="","",Datos!A44)</f>
        <v/>
      </c>
      <c r="B44">
        <f>IF(Datos!A44="","",Datos!B44)</f>
        <v/>
      </c>
      <c r="C44">
        <f>IF(Datos!A44="","",IFERROR(MAX(0,N(Datos!D44)),0))</f>
        <v/>
      </c>
      <c r="D44">
        <f>IF(Datos!A44="","",IFERROR(MAX(0,N(Datos!E44)),0))</f>
        <v/>
      </c>
      <c r="E44">
        <f>IF(Datos!A44="","",IFERROR(MAX(0,N(Datos!F44)),0))</f>
        <v/>
      </c>
      <c r="F44">
        <f>IF(Datos!A44="","",IFERROR(MAX(0,N(Datos!G44)),0))</f>
        <v/>
      </c>
      <c r="G44">
        <f>IF(Datos!A44="","",IFERROR(MAX(0,N(Datos!H44)),0))</f>
        <v/>
      </c>
      <c r="H44">
        <f>IF(Datos!A44="","",IFERROR(MAX(0,N(Datos!I44)),0))</f>
        <v/>
      </c>
      <c r="J44">
        <f>IF(Datos!A44="","",IF(MAX(C$2:C$301)-MIN(C$2:C$301)&lt;0.000000001,0.5,(C44-MIN(C$2:C$301))/(MAX(C$2:C$301)-MIN(C$2:C$301)))+0.000000001)</f>
        <v/>
      </c>
      <c r="K44">
        <f>IF(Datos!A44="","",IF(MAX(D$2:D$301)-MIN(D$2:D$301)&lt;0.000000001,0.5,(D44-MIN(D$2:D$301))/(MAX(D$2:D$301)-MIN(D$2:D$301)))+0.000000001)</f>
        <v/>
      </c>
      <c r="L44">
        <f>IF(Datos!A44="","",IF(MAX(E$2:E$301)-MIN(E$2:E$301)&lt;0.000000001,0.5,(E44-MIN(E$2:E$301))/(MAX(E$2:E$301)-MIN(E$2:E$301)))+0.000000001)</f>
        <v/>
      </c>
      <c r="M44">
        <f>IF(Datos!A44="","",IF(MAX(F$2:F$301)-MIN(F$2:F$301)&lt;0.000000001,0.5,(F44-MIN(F$2:F$301))/(MAX(F$2:F$301)-MIN(F$2:F$301)))+0.000000001)</f>
        <v/>
      </c>
      <c r="N44">
        <f>IF(Datos!A44="","",IF(MAX(G$2:G$301)-MIN(G$2:G$301)&lt;0.000000001,0.5,(G44-MIN(G$2:G$301))/(MAX(G$2:G$301)-MIN(G$2:G$301)))+0.000000001)</f>
        <v/>
      </c>
      <c r="O44">
        <f>IF(Datos!A44="","",IF(MAX(H$2:H$301)-MIN(H$2:H$301)&lt;0.000000001,0.5,(H44-MIN(H$2:H$301))/(MAX(H$2:H$301)-MIN(H$2:H$301)))+0.000000001)</f>
        <v/>
      </c>
      <c r="Q44">
        <f>IF(Datos!A44="","",(J44/SUM(J$2:J$301))*LN(J44/SUM(J$2:J$301)))</f>
        <v/>
      </c>
      <c r="R44">
        <f>IF(Datos!A44="","",(K44/SUM(K$2:K$301))*LN(K44/SUM(K$2:K$301)))</f>
        <v/>
      </c>
      <c r="S44">
        <f>IF(Datos!A44="","",(L44/SUM(L$2:L$301))*LN(L44/SUM(L$2:L$301)))</f>
        <v/>
      </c>
      <c r="T44">
        <f>IF(Datos!A44="","",(M44/SUM(M$2:M$301))*LN(M44/SUM(M$2:M$301)))</f>
        <v/>
      </c>
      <c r="U44">
        <f>IF(Datos!A44="","",(N44/SUM(N$2:N$301))*LN(N44/SUM(N$2:N$301)))</f>
        <v/>
      </c>
      <c r="V44">
        <f>IF(Datos!A44="","",(O44/SUM(O$2:O$301))*LN(O44/SUM(O$2:O$301)))</f>
        <v/>
      </c>
      <c r="X44">
        <f>IF(Datos!A44="","",IF(SUMSQ(C$2:C$301)=0,0,C44/SQRT(SUMSQ(C$2:C$301)))*$BE$2)</f>
        <v/>
      </c>
      <c r="Y44">
        <f>IF(Datos!A44="","",IF(SUMSQ(D$2:D$301)=0,0,D44/SQRT(SUMSQ(D$2:D$301)))*$BE$3)</f>
        <v/>
      </c>
      <c r="Z44">
        <f>IF(Datos!A44="","",IF(SUMSQ(E$2:E$301)=0,0,E44/SQRT(SUMSQ(E$2:E$301)))*$BE$4)</f>
        <v/>
      </c>
      <c r="AA44">
        <f>IF(Datos!A44="","",IF(SUMSQ(F$2:F$301)=0,0,F44/SQRT(SUMSQ(F$2:F$301)))*$BE$5)</f>
        <v/>
      </c>
      <c r="AB44">
        <f>IF(Datos!A44="","",IF(SUMSQ(G$2:G$301)=0,0,G44/SQRT(SUMSQ(G$2:G$301)))*$BE$6)</f>
        <v/>
      </c>
      <c r="AC44">
        <f>IF(Datos!A44="","",IF(SUMSQ(H$2:H$301)=0,0,H44/SQRT(SUMSQ(H$2:H$301)))*$BE$7)</f>
        <v/>
      </c>
      <c r="AE44">
        <f>IF(Datos!A44="","",SQRT(SUMXMY2(X44:AC44,$X$303:$AC$303)))</f>
        <v/>
      </c>
      <c r="AF44">
        <f>IF(Datos!A44="","",SQRT(SUMXMY2(X44:AC44,$X$304:$AC$304)))</f>
        <v/>
      </c>
      <c r="AG44" s="11">
        <f>IF(Datos!A44="","",IF(AE44+AF44&lt;0.000000001,0.5,AF44/(AE44+AF44)))</f>
        <v/>
      </c>
      <c r="AH44">
        <f>IF(Datos!A44="","",AG44*MAX(C44*D44,1))</f>
        <v/>
      </c>
      <c r="AI44">
        <f>IF(Datos!A44="","",SUMIF($AH$2:$AH$301,"&gt;="&amp;AH44,$AH$2:$AH$301)/SUM($AH$2:$AH$301))</f>
        <v/>
      </c>
      <c r="AJ44" s="12">
        <f>IF(Datos!A44="","",IF(AI44&lt;=Parametros!$B$13,"A",IF(AI44&lt;=Parametros!$B$14,"B","C")))</f>
        <v/>
      </c>
      <c r="AK44" s="13">
        <f>IF(Datos!A44="","",VLOOKUP(AJ44,Parametros!$A$8:$C$10,2,FALSE))</f>
        <v/>
      </c>
      <c r="AL44">
        <f>IF(Datos!A44="","",VLOOKUP(AJ44,Parametros!$A$8:$C$10,3,FALSE))</f>
        <v/>
      </c>
      <c r="AM44">
        <f>IF(Datos!A44="","",NORMSINV(AK44))</f>
        <v/>
      </c>
      <c r="AN44">
        <f>IF(Datos!A44="","",D44/Parametros!$B$4)</f>
        <v/>
      </c>
      <c r="AO44">
        <f>IF(Datos!A44="","",MAX(0,ROUNDUP(AM44*(AN44*Parametros!$B$3)*SQRT((AL44+E44)),0)))</f>
        <v/>
      </c>
      <c r="AP44">
        <f>IF(Datos!A44="","",MAX(1,ROUNDUP(AN44*(AL44+E44)+AM44*(AN44*Parametros!$B$3)*SQRT((AL44+E44)),0)))</f>
        <v/>
      </c>
      <c r="AQ44">
        <f>IF(Datos!A44="","",IF(Datos!J44="","",Datos!J44))</f>
        <v/>
      </c>
      <c r="AR44">
        <f>IF(OR(Datos!A44="",AQ44=""),"",MAX(0,AQ44-AP44))</f>
        <v/>
      </c>
      <c r="AS44" s="10">
        <f>IF(OR(Datos!A44="",AQ44=""),"",AR44*C44)</f>
        <v/>
      </c>
      <c r="AT44" s="12">
        <f>IF(OR(Datos!A44="",AQ44=""),"",IF(AQ44&lt;AO44,"SI",""))</f>
        <v/>
      </c>
      <c r="AU44">
        <f>IF(Datos!A44="","",IF(AT44="SI","Reponer ahora",IF(AND(AQ44&lt;&gt;"",AR44&gt;0),"Bajar "&amp;TEXT(AR44,"#,##0")&amp;" un.","En rango")))</f>
        <v/>
      </c>
    </row>
    <row r="45">
      <c r="A45">
        <f>IF(Datos!A45="","",Datos!A45)</f>
        <v/>
      </c>
      <c r="B45">
        <f>IF(Datos!A45="","",Datos!B45)</f>
        <v/>
      </c>
      <c r="C45">
        <f>IF(Datos!A45="","",IFERROR(MAX(0,N(Datos!D45)),0))</f>
        <v/>
      </c>
      <c r="D45">
        <f>IF(Datos!A45="","",IFERROR(MAX(0,N(Datos!E45)),0))</f>
        <v/>
      </c>
      <c r="E45">
        <f>IF(Datos!A45="","",IFERROR(MAX(0,N(Datos!F45)),0))</f>
        <v/>
      </c>
      <c r="F45">
        <f>IF(Datos!A45="","",IFERROR(MAX(0,N(Datos!G45)),0))</f>
        <v/>
      </c>
      <c r="G45">
        <f>IF(Datos!A45="","",IFERROR(MAX(0,N(Datos!H45)),0))</f>
        <v/>
      </c>
      <c r="H45">
        <f>IF(Datos!A45="","",IFERROR(MAX(0,N(Datos!I45)),0))</f>
        <v/>
      </c>
      <c r="J45">
        <f>IF(Datos!A45="","",IF(MAX(C$2:C$301)-MIN(C$2:C$301)&lt;0.000000001,0.5,(C45-MIN(C$2:C$301))/(MAX(C$2:C$301)-MIN(C$2:C$301)))+0.000000001)</f>
        <v/>
      </c>
      <c r="K45">
        <f>IF(Datos!A45="","",IF(MAX(D$2:D$301)-MIN(D$2:D$301)&lt;0.000000001,0.5,(D45-MIN(D$2:D$301))/(MAX(D$2:D$301)-MIN(D$2:D$301)))+0.000000001)</f>
        <v/>
      </c>
      <c r="L45">
        <f>IF(Datos!A45="","",IF(MAX(E$2:E$301)-MIN(E$2:E$301)&lt;0.000000001,0.5,(E45-MIN(E$2:E$301))/(MAX(E$2:E$301)-MIN(E$2:E$301)))+0.000000001)</f>
        <v/>
      </c>
      <c r="M45">
        <f>IF(Datos!A45="","",IF(MAX(F$2:F$301)-MIN(F$2:F$301)&lt;0.000000001,0.5,(F45-MIN(F$2:F$301))/(MAX(F$2:F$301)-MIN(F$2:F$301)))+0.000000001)</f>
        <v/>
      </c>
      <c r="N45">
        <f>IF(Datos!A45="","",IF(MAX(G$2:G$301)-MIN(G$2:G$301)&lt;0.000000001,0.5,(G45-MIN(G$2:G$301))/(MAX(G$2:G$301)-MIN(G$2:G$301)))+0.000000001)</f>
        <v/>
      </c>
      <c r="O45">
        <f>IF(Datos!A45="","",IF(MAX(H$2:H$301)-MIN(H$2:H$301)&lt;0.000000001,0.5,(H45-MIN(H$2:H$301))/(MAX(H$2:H$301)-MIN(H$2:H$301)))+0.000000001)</f>
        <v/>
      </c>
      <c r="Q45">
        <f>IF(Datos!A45="","",(J45/SUM(J$2:J$301))*LN(J45/SUM(J$2:J$301)))</f>
        <v/>
      </c>
      <c r="R45">
        <f>IF(Datos!A45="","",(K45/SUM(K$2:K$301))*LN(K45/SUM(K$2:K$301)))</f>
        <v/>
      </c>
      <c r="S45">
        <f>IF(Datos!A45="","",(L45/SUM(L$2:L$301))*LN(L45/SUM(L$2:L$301)))</f>
        <v/>
      </c>
      <c r="T45">
        <f>IF(Datos!A45="","",(M45/SUM(M$2:M$301))*LN(M45/SUM(M$2:M$301)))</f>
        <v/>
      </c>
      <c r="U45">
        <f>IF(Datos!A45="","",(N45/SUM(N$2:N$301))*LN(N45/SUM(N$2:N$301)))</f>
        <v/>
      </c>
      <c r="V45">
        <f>IF(Datos!A45="","",(O45/SUM(O$2:O$301))*LN(O45/SUM(O$2:O$301)))</f>
        <v/>
      </c>
      <c r="X45">
        <f>IF(Datos!A45="","",IF(SUMSQ(C$2:C$301)=0,0,C45/SQRT(SUMSQ(C$2:C$301)))*$BE$2)</f>
        <v/>
      </c>
      <c r="Y45">
        <f>IF(Datos!A45="","",IF(SUMSQ(D$2:D$301)=0,0,D45/SQRT(SUMSQ(D$2:D$301)))*$BE$3)</f>
        <v/>
      </c>
      <c r="Z45">
        <f>IF(Datos!A45="","",IF(SUMSQ(E$2:E$301)=0,0,E45/SQRT(SUMSQ(E$2:E$301)))*$BE$4)</f>
        <v/>
      </c>
      <c r="AA45">
        <f>IF(Datos!A45="","",IF(SUMSQ(F$2:F$301)=0,0,F45/SQRT(SUMSQ(F$2:F$301)))*$BE$5)</f>
        <v/>
      </c>
      <c r="AB45">
        <f>IF(Datos!A45="","",IF(SUMSQ(G$2:G$301)=0,0,G45/SQRT(SUMSQ(G$2:G$301)))*$BE$6)</f>
        <v/>
      </c>
      <c r="AC45">
        <f>IF(Datos!A45="","",IF(SUMSQ(H$2:H$301)=0,0,H45/SQRT(SUMSQ(H$2:H$301)))*$BE$7)</f>
        <v/>
      </c>
      <c r="AE45">
        <f>IF(Datos!A45="","",SQRT(SUMXMY2(X45:AC45,$X$303:$AC$303)))</f>
        <v/>
      </c>
      <c r="AF45">
        <f>IF(Datos!A45="","",SQRT(SUMXMY2(X45:AC45,$X$304:$AC$304)))</f>
        <v/>
      </c>
      <c r="AG45" s="11">
        <f>IF(Datos!A45="","",IF(AE45+AF45&lt;0.000000001,0.5,AF45/(AE45+AF45)))</f>
        <v/>
      </c>
      <c r="AH45">
        <f>IF(Datos!A45="","",AG45*MAX(C45*D45,1))</f>
        <v/>
      </c>
      <c r="AI45">
        <f>IF(Datos!A45="","",SUMIF($AH$2:$AH$301,"&gt;="&amp;AH45,$AH$2:$AH$301)/SUM($AH$2:$AH$301))</f>
        <v/>
      </c>
      <c r="AJ45" s="12">
        <f>IF(Datos!A45="","",IF(AI45&lt;=Parametros!$B$13,"A",IF(AI45&lt;=Parametros!$B$14,"B","C")))</f>
        <v/>
      </c>
      <c r="AK45" s="13">
        <f>IF(Datos!A45="","",VLOOKUP(AJ45,Parametros!$A$8:$C$10,2,FALSE))</f>
        <v/>
      </c>
      <c r="AL45">
        <f>IF(Datos!A45="","",VLOOKUP(AJ45,Parametros!$A$8:$C$10,3,FALSE))</f>
        <v/>
      </c>
      <c r="AM45">
        <f>IF(Datos!A45="","",NORMSINV(AK45))</f>
        <v/>
      </c>
      <c r="AN45">
        <f>IF(Datos!A45="","",D45/Parametros!$B$4)</f>
        <v/>
      </c>
      <c r="AO45">
        <f>IF(Datos!A45="","",MAX(0,ROUNDUP(AM45*(AN45*Parametros!$B$3)*SQRT((AL45+E45)),0)))</f>
        <v/>
      </c>
      <c r="AP45">
        <f>IF(Datos!A45="","",MAX(1,ROUNDUP(AN45*(AL45+E45)+AM45*(AN45*Parametros!$B$3)*SQRT((AL45+E45)),0)))</f>
        <v/>
      </c>
      <c r="AQ45">
        <f>IF(Datos!A45="","",IF(Datos!J45="","",Datos!J45))</f>
        <v/>
      </c>
      <c r="AR45">
        <f>IF(OR(Datos!A45="",AQ45=""),"",MAX(0,AQ45-AP45))</f>
        <v/>
      </c>
      <c r="AS45" s="10">
        <f>IF(OR(Datos!A45="",AQ45=""),"",AR45*C45)</f>
        <v/>
      </c>
      <c r="AT45" s="12">
        <f>IF(OR(Datos!A45="",AQ45=""),"",IF(AQ45&lt;AO45,"SI",""))</f>
        <v/>
      </c>
      <c r="AU45">
        <f>IF(Datos!A45="","",IF(AT45="SI","Reponer ahora",IF(AND(AQ45&lt;&gt;"",AR45&gt;0),"Bajar "&amp;TEXT(AR45,"#,##0")&amp;" un.","En rango")))</f>
        <v/>
      </c>
    </row>
    <row r="46">
      <c r="A46">
        <f>IF(Datos!A46="","",Datos!A46)</f>
        <v/>
      </c>
      <c r="B46">
        <f>IF(Datos!A46="","",Datos!B46)</f>
        <v/>
      </c>
      <c r="C46">
        <f>IF(Datos!A46="","",IFERROR(MAX(0,N(Datos!D46)),0))</f>
        <v/>
      </c>
      <c r="D46">
        <f>IF(Datos!A46="","",IFERROR(MAX(0,N(Datos!E46)),0))</f>
        <v/>
      </c>
      <c r="E46">
        <f>IF(Datos!A46="","",IFERROR(MAX(0,N(Datos!F46)),0))</f>
        <v/>
      </c>
      <c r="F46">
        <f>IF(Datos!A46="","",IFERROR(MAX(0,N(Datos!G46)),0))</f>
        <v/>
      </c>
      <c r="G46">
        <f>IF(Datos!A46="","",IFERROR(MAX(0,N(Datos!H46)),0))</f>
        <v/>
      </c>
      <c r="H46">
        <f>IF(Datos!A46="","",IFERROR(MAX(0,N(Datos!I46)),0))</f>
        <v/>
      </c>
      <c r="J46">
        <f>IF(Datos!A46="","",IF(MAX(C$2:C$301)-MIN(C$2:C$301)&lt;0.000000001,0.5,(C46-MIN(C$2:C$301))/(MAX(C$2:C$301)-MIN(C$2:C$301)))+0.000000001)</f>
        <v/>
      </c>
      <c r="K46">
        <f>IF(Datos!A46="","",IF(MAX(D$2:D$301)-MIN(D$2:D$301)&lt;0.000000001,0.5,(D46-MIN(D$2:D$301))/(MAX(D$2:D$301)-MIN(D$2:D$301)))+0.000000001)</f>
        <v/>
      </c>
      <c r="L46">
        <f>IF(Datos!A46="","",IF(MAX(E$2:E$301)-MIN(E$2:E$301)&lt;0.000000001,0.5,(E46-MIN(E$2:E$301))/(MAX(E$2:E$301)-MIN(E$2:E$301)))+0.000000001)</f>
        <v/>
      </c>
      <c r="M46">
        <f>IF(Datos!A46="","",IF(MAX(F$2:F$301)-MIN(F$2:F$301)&lt;0.000000001,0.5,(F46-MIN(F$2:F$301))/(MAX(F$2:F$301)-MIN(F$2:F$301)))+0.000000001)</f>
        <v/>
      </c>
      <c r="N46">
        <f>IF(Datos!A46="","",IF(MAX(G$2:G$301)-MIN(G$2:G$301)&lt;0.000000001,0.5,(G46-MIN(G$2:G$301))/(MAX(G$2:G$301)-MIN(G$2:G$301)))+0.000000001)</f>
        <v/>
      </c>
      <c r="O46">
        <f>IF(Datos!A46="","",IF(MAX(H$2:H$301)-MIN(H$2:H$301)&lt;0.000000001,0.5,(H46-MIN(H$2:H$301))/(MAX(H$2:H$301)-MIN(H$2:H$301)))+0.000000001)</f>
        <v/>
      </c>
      <c r="Q46">
        <f>IF(Datos!A46="","",(J46/SUM(J$2:J$301))*LN(J46/SUM(J$2:J$301)))</f>
        <v/>
      </c>
      <c r="R46">
        <f>IF(Datos!A46="","",(K46/SUM(K$2:K$301))*LN(K46/SUM(K$2:K$301)))</f>
        <v/>
      </c>
      <c r="S46">
        <f>IF(Datos!A46="","",(L46/SUM(L$2:L$301))*LN(L46/SUM(L$2:L$301)))</f>
        <v/>
      </c>
      <c r="T46">
        <f>IF(Datos!A46="","",(M46/SUM(M$2:M$301))*LN(M46/SUM(M$2:M$301)))</f>
        <v/>
      </c>
      <c r="U46">
        <f>IF(Datos!A46="","",(N46/SUM(N$2:N$301))*LN(N46/SUM(N$2:N$301)))</f>
        <v/>
      </c>
      <c r="V46">
        <f>IF(Datos!A46="","",(O46/SUM(O$2:O$301))*LN(O46/SUM(O$2:O$301)))</f>
        <v/>
      </c>
      <c r="X46">
        <f>IF(Datos!A46="","",IF(SUMSQ(C$2:C$301)=0,0,C46/SQRT(SUMSQ(C$2:C$301)))*$BE$2)</f>
        <v/>
      </c>
      <c r="Y46">
        <f>IF(Datos!A46="","",IF(SUMSQ(D$2:D$301)=0,0,D46/SQRT(SUMSQ(D$2:D$301)))*$BE$3)</f>
        <v/>
      </c>
      <c r="Z46">
        <f>IF(Datos!A46="","",IF(SUMSQ(E$2:E$301)=0,0,E46/SQRT(SUMSQ(E$2:E$301)))*$BE$4)</f>
        <v/>
      </c>
      <c r="AA46">
        <f>IF(Datos!A46="","",IF(SUMSQ(F$2:F$301)=0,0,F46/SQRT(SUMSQ(F$2:F$301)))*$BE$5)</f>
        <v/>
      </c>
      <c r="AB46">
        <f>IF(Datos!A46="","",IF(SUMSQ(G$2:G$301)=0,0,G46/SQRT(SUMSQ(G$2:G$301)))*$BE$6)</f>
        <v/>
      </c>
      <c r="AC46">
        <f>IF(Datos!A46="","",IF(SUMSQ(H$2:H$301)=0,0,H46/SQRT(SUMSQ(H$2:H$301)))*$BE$7)</f>
        <v/>
      </c>
      <c r="AE46">
        <f>IF(Datos!A46="","",SQRT(SUMXMY2(X46:AC46,$X$303:$AC$303)))</f>
        <v/>
      </c>
      <c r="AF46">
        <f>IF(Datos!A46="","",SQRT(SUMXMY2(X46:AC46,$X$304:$AC$304)))</f>
        <v/>
      </c>
      <c r="AG46" s="11">
        <f>IF(Datos!A46="","",IF(AE46+AF46&lt;0.000000001,0.5,AF46/(AE46+AF46)))</f>
        <v/>
      </c>
      <c r="AH46">
        <f>IF(Datos!A46="","",AG46*MAX(C46*D46,1))</f>
        <v/>
      </c>
      <c r="AI46">
        <f>IF(Datos!A46="","",SUMIF($AH$2:$AH$301,"&gt;="&amp;AH46,$AH$2:$AH$301)/SUM($AH$2:$AH$301))</f>
        <v/>
      </c>
      <c r="AJ46" s="12">
        <f>IF(Datos!A46="","",IF(AI46&lt;=Parametros!$B$13,"A",IF(AI46&lt;=Parametros!$B$14,"B","C")))</f>
        <v/>
      </c>
      <c r="AK46" s="13">
        <f>IF(Datos!A46="","",VLOOKUP(AJ46,Parametros!$A$8:$C$10,2,FALSE))</f>
        <v/>
      </c>
      <c r="AL46">
        <f>IF(Datos!A46="","",VLOOKUP(AJ46,Parametros!$A$8:$C$10,3,FALSE))</f>
        <v/>
      </c>
      <c r="AM46">
        <f>IF(Datos!A46="","",NORMSINV(AK46))</f>
        <v/>
      </c>
      <c r="AN46">
        <f>IF(Datos!A46="","",D46/Parametros!$B$4)</f>
        <v/>
      </c>
      <c r="AO46">
        <f>IF(Datos!A46="","",MAX(0,ROUNDUP(AM46*(AN46*Parametros!$B$3)*SQRT((AL46+E46)),0)))</f>
        <v/>
      </c>
      <c r="AP46">
        <f>IF(Datos!A46="","",MAX(1,ROUNDUP(AN46*(AL46+E46)+AM46*(AN46*Parametros!$B$3)*SQRT((AL46+E46)),0)))</f>
        <v/>
      </c>
      <c r="AQ46">
        <f>IF(Datos!A46="","",IF(Datos!J46="","",Datos!J46))</f>
        <v/>
      </c>
      <c r="AR46">
        <f>IF(OR(Datos!A46="",AQ46=""),"",MAX(0,AQ46-AP46))</f>
        <v/>
      </c>
      <c r="AS46" s="10">
        <f>IF(OR(Datos!A46="",AQ46=""),"",AR46*C46)</f>
        <v/>
      </c>
      <c r="AT46" s="12">
        <f>IF(OR(Datos!A46="",AQ46=""),"",IF(AQ46&lt;AO46,"SI",""))</f>
        <v/>
      </c>
      <c r="AU46">
        <f>IF(Datos!A46="","",IF(AT46="SI","Reponer ahora",IF(AND(AQ46&lt;&gt;"",AR46&gt;0),"Bajar "&amp;TEXT(AR46,"#,##0")&amp;" un.","En rango")))</f>
        <v/>
      </c>
    </row>
    <row r="47">
      <c r="A47">
        <f>IF(Datos!A47="","",Datos!A47)</f>
        <v/>
      </c>
      <c r="B47">
        <f>IF(Datos!A47="","",Datos!B47)</f>
        <v/>
      </c>
      <c r="C47">
        <f>IF(Datos!A47="","",IFERROR(MAX(0,N(Datos!D47)),0))</f>
        <v/>
      </c>
      <c r="D47">
        <f>IF(Datos!A47="","",IFERROR(MAX(0,N(Datos!E47)),0))</f>
        <v/>
      </c>
      <c r="E47">
        <f>IF(Datos!A47="","",IFERROR(MAX(0,N(Datos!F47)),0))</f>
        <v/>
      </c>
      <c r="F47">
        <f>IF(Datos!A47="","",IFERROR(MAX(0,N(Datos!G47)),0))</f>
        <v/>
      </c>
      <c r="G47">
        <f>IF(Datos!A47="","",IFERROR(MAX(0,N(Datos!H47)),0))</f>
        <v/>
      </c>
      <c r="H47">
        <f>IF(Datos!A47="","",IFERROR(MAX(0,N(Datos!I47)),0))</f>
        <v/>
      </c>
      <c r="J47">
        <f>IF(Datos!A47="","",IF(MAX(C$2:C$301)-MIN(C$2:C$301)&lt;0.000000001,0.5,(C47-MIN(C$2:C$301))/(MAX(C$2:C$301)-MIN(C$2:C$301)))+0.000000001)</f>
        <v/>
      </c>
      <c r="K47">
        <f>IF(Datos!A47="","",IF(MAX(D$2:D$301)-MIN(D$2:D$301)&lt;0.000000001,0.5,(D47-MIN(D$2:D$301))/(MAX(D$2:D$301)-MIN(D$2:D$301)))+0.000000001)</f>
        <v/>
      </c>
      <c r="L47">
        <f>IF(Datos!A47="","",IF(MAX(E$2:E$301)-MIN(E$2:E$301)&lt;0.000000001,0.5,(E47-MIN(E$2:E$301))/(MAX(E$2:E$301)-MIN(E$2:E$301)))+0.000000001)</f>
        <v/>
      </c>
      <c r="M47">
        <f>IF(Datos!A47="","",IF(MAX(F$2:F$301)-MIN(F$2:F$301)&lt;0.000000001,0.5,(F47-MIN(F$2:F$301))/(MAX(F$2:F$301)-MIN(F$2:F$301)))+0.000000001)</f>
        <v/>
      </c>
      <c r="N47">
        <f>IF(Datos!A47="","",IF(MAX(G$2:G$301)-MIN(G$2:G$301)&lt;0.000000001,0.5,(G47-MIN(G$2:G$301))/(MAX(G$2:G$301)-MIN(G$2:G$301)))+0.000000001)</f>
        <v/>
      </c>
      <c r="O47">
        <f>IF(Datos!A47="","",IF(MAX(H$2:H$301)-MIN(H$2:H$301)&lt;0.000000001,0.5,(H47-MIN(H$2:H$301))/(MAX(H$2:H$301)-MIN(H$2:H$301)))+0.000000001)</f>
        <v/>
      </c>
      <c r="Q47">
        <f>IF(Datos!A47="","",(J47/SUM(J$2:J$301))*LN(J47/SUM(J$2:J$301)))</f>
        <v/>
      </c>
      <c r="R47">
        <f>IF(Datos!A47="","",(K47/SUM(K$2:K$301))*LN(K47/SUM(K$2:K$301)))</f>
        <v/>
      </c>
      <c r="S47">
        <f>IF(Datos!A47="","",(L47/SUM(L$2:L$301))*LN(L47/SUM(L$2:L$301)))</f>
        <v/>
      </c>
      <c r="T47">
        <f>IF(Datos!A47="","",(M47/SUM(M$2:M$301))*LN(M47/SUM(M$2:M$301)))</f>
        <v/>
      </c>
      <c r="U47">
        <f>IF(Datos!A47="","",(N47/SUM(N$2:N$301))*LN(N47/SUM(N$2:N$301)))</f>
        <v/>
      </c>
      <c r="V47">
        <f>IF(Datos!A47="","",(O47/SUM(O$2:O$301))*LN(O47/SUM(O$2:O$301)))</f>
        <v/>
      </c>
      <c r="X47">
        <f>IF(Datos!A47="","",IF(SUMSQ(C$2:C$301)=0,0,C47/SQRT(SUMSQ(C$2:C$301)))*$BE$2)</f>
        <v/>
      </c>
      <c r="Y47">
        <f>IF(Datos!A47="","",IF(SUMSQ(D$2:D$301)=0,0,D47/SQRT(SUMSQ(D$2:D$301)))*$BE$3)</f>
        <v/>
      </c>
      <c r="Z47">
        <f>IF(Datos!A47="","",IF(SUMSQ(E$2:E$301)=0,0,E47/SQRT(SUMSQ(E$2:E$301)))*$BE$4)</f>
        <v/>
      </c>
      <c r="AA47">
        <f>IF(Datos!A47="","",IF(SUMSQ(F$2:F$301)=0,0,F47/SQRT(SUMSQ(F$2:F$301)))*$BE$5)</f>
        <v/>
      </c>
      <c r="AB47">
        <f>IF(Datos!A47="","",IF(SUMSQ(G$2:G$301)=0,0,G47/SQRT(SUMSQ(G$2:G$301)))*$BE$6)</f>
        <v/>
      </c>
      <c r="AC47">
        <f>IF(Datos!A47="","",IF(SUMSQ(H$2:H$301)=0,0,H47/SQRT(SUMSQ(H$2:H$301)))*$BE$7)</f>
        <v/>
      </c>
      <c r="AE47">
        <f>IF(Datos!A47="","",SQRT(SUMXMY2(X47:AC47,$X$303:$AC$303)))</f>
        <v/>
      </c>
      <c r="AF47">
        <f>IF(Datos!A47="","",SQRT(SUMXMY2(X47:AC47,$X$304:$AC$304)))</f>
        <v/>
      </c>
      <c r="AG47" s="11">
        <f>IF(Datos!A47="","",IF(AE47+AF47&lt;0.000000001,0.5,AF47/(AE47+AF47)))</f>
        <v/>
      </c>
      <c r="AH47">
        <f>IF(Datos!A47="","",AG47*MAX(C47*D47,1))</f>
        <v/>
      </c>
      <c r="AI47">
        <f>IF(Datos!A47="","",SUMIF($AH$2:$AH$301,"&gt;="&amp;AH47,$AH$2:$AH$301)/SUM($AH$2:$AH$301))</f>
        <v/>
      </c>
      <c r="AJ47" s="12">
        <f>IF(Datos!A47="","",IF(AI47&lt;=Parametros!$B$13,"A",IF(AI47&lt;=Parametros!$B$14,"B","C")))</f>
        <v/>
      </c>
      <c r="AK47" s="13">
        <f>IF(Datos!A47="","",VLOOKUP(AJ47,Parametros!$A$8:$C$10,2,FALSE))</f>
        <v/>
      </c>
      <c r="AL47">
        <f>IF(Datos!A47="","",VLOOKUP(AJ47,Parametros!$A$8:$C$10,3,FALSE))</f>
        <v/>
      </c>
      <c r="AM47">
        <f>IF(Datos!A47="","",NORMSINV(AK47))</f>
        <v/>
      </c>
      <c r="AN47">
        <f>IF(Datos!A47="","",D47/Parametros!$B$4)</f>
        <v/>
      </c>
      <c r="AO47">
        <f>IF(Datos!A47="","",MAX(0,ROUNDUP(AM47*(AN47*Parametros!$B$3)*SQRT((AL47+E47)),0)))</f>
        <v/>
      </c>
      <c r="AP47">
        <f>IF(Datos!A47="","",MAX(1,ROUNDUP(AN47*(AL47+E47)+AM47*(AN47*Parametros!$B$3)*SQRT((AL47+E47)),0)))</f>
        <v/>
      </c>
      <c r="AQ47">
        <f>IF(Datos!A47="","",IF(Datos!J47="","",Datos!J47))</f>
        <v/>
      </c>
      <c r="AR47">
        <f>IF(OR(Datos!A47="",AQ47=""),"",MAX(0,AQ47-AP47))</f>
        <v/>
      </c>
      <c r="AS47" s="10">
        <f>IF(OR(Datos!A47="",AQ47=""),"",AR47*C47)</f>
        <v/>
      </c>
      <c r="AT47" s="12">
        <f>IF(OR(Datos!A47="",AQ47=""),"",IF(AQ47&lt;AO47,"SI",""))</f>
        <v/>
      </c>
      <c r="AU47">
        <f>IF(Datos!A47="","",IF(AT47="SI","Reponer ahora",IF(AND(AQ47&lt;&gt;"",AR47&gt;0),"Bajar "&amp;TEXT(AR47,"#,##0")&amp;" un.","En rango")))</f>
        <v/>
      </c>
    </row>
    <row r="48">
      <c r="A48">
        <f>IF(Datos!A48="","",Datos!A48)</f>
        <v/>
      </c>
      <c r="B48">
        <f>IF(Datos!A48="","",Datos!B48)</f>
        <v/>
      </c>
      <c r="C48">
        <f>IF(Datos!A48="","",IFERROR(MAX(0,N(Datos!D48)),0))</f>
        <v/>
      </c>
      <c r="D48">
        <f>IF(Datos!A48="","",IFERROR(MAX(0,N(Datos!E48)),0))</f>
        <v/>
      </c>
      <c r="E48">
        <f>IF(Datos!A48="","",IFERROR(MAX(0,N(Datos!F48)),0))</f>
        <v/>
      </c>
      <c r="F48">
        <f>IF(Datos!A48="","",IFERROR(MAX(0,N(Datos!G48)),0))</f>
        <v/>
      </c>
      <c r="G48">
        <f>IF(Datos!A48="","",IFERROR(MAX(0,N(Datos!H48)),0))</f>
        <v/>
      </c>
      <c r="H48">
        <f>IF(Datos!A48="","",IFERROR(MAX(0,N(Datos!I48)),0))</f>
        <v/>
      </c>
      <c r="J48">
        <f>IF(Datos!A48="","",IF(MAX(C$2:C$301)-MIN(C$2:C$301)&lt;0.000000001,0.5,(C48-MIN(C$2:C$301))/(MAX(C$2:C$301)-MIN(C$2:C$301)))+0.000000001)</f>
        <v/>
      </c>
      <c r="K48">
        <f>IF(Datos!A48="","",IF(MAX(D$2:D$301)-MIN(D$2:D$301)&lt;0.000000001,0.5,(D48-MIN(D$2:D$301))/(MAX(D$2:D$301)-MIN(D$2:D$301)))+0.000000001)</f>
        <v/>
      </c>
      <c r="L48">
        <f>IF(Datos!A48="","",IF(MAX(E$2:E$301)-MIN(E$2:E$301)&lt;0.000000001,0.5,(E48-MIN(E$2:E$301))/(MAX(E$2:E$301)-MIN(E$2:E$301)))+0.000000001)</f>
        <v/>
      </c>
      <c r="M48">
        <f>IF(Datos!A48="","",IF(MAX(F$2:F$301)-MIN(F$2:F$301)&lt;0.000000001,0.5,(F48-MIN(F$2:F$301))/(MAX(F$2:F$301)-MIN(F$2:F$301)))+0.000000001)</f>
        <v/>
      </c>
      <c r="N48">
        <f>IF(Datos!A48="","",IF(MAX(G$2:G$301)-MIN(G$2:G$301)&lt;0.000000001,0.5,(G48-MIN(G$2:G$301))/(MAX(G$2:G$301)-MIN(G$2:G$301)))+0.000000001)</f>
        <v/>
      </c>
      <c r="O48">
        <f>IF(Datos!A48="","",IF(MAX(H$2:H$301)-MIN(H$2:H$301)&lt;0.000000001,0.5,(H48-MIN(H$2:H$301))/(MAX(H$2:H$301)-MIN(H$2:H$301)))+0.000000001)</f>
        <v/>
      </c>
      <c r="Q48">
        <f>IF(Datos!A48="","",(J48/SUM(J$2:J$301))*LN(J48/SUM(J$2:J$301)))</f>
        <v/>
      </c>
      <c r="R48">
        <f>IF(Datos!A48="","",(K48/SUM(K$2:K$301))*LN(K48/SUM(K$2:K$301)))</f>
        <v/>
      </c>
      <c r="S48">
        <f>IF(Datos!A48="","",(L48/SUM(L$2:L$301))*LN(L48/SUM(L$2:L$301)))</f>
        <v/>
      </c>
      <c r="T48">
        <f>IF(Datos!A48="","",(M48/SUM(M$2:M$301))*LN(M48/SUM(M$2:M$301)))</f>
        <v/>
      </c>
      <c r="U48">
        <f>IF(Datos!A48="","",(N48/SUM(N$2:N$301))*LN(N48/SUM(N$2:N$301)))</f>
        <v/>
      </c>
      <c r="V48">
        <f>IF(Datos!A48="","",(O48/SUM(O$2:O$301))*LN(O48/SUM(O$2:O$301)))</f>
        <v/>
      </c>
      <c r="X48">
        <f>IF(Datos!A48="","",IF(SUMSQ(C$2:C$301)=0,0,C48/SQRT(SUMSQ(C$2:C$301)))*$BE$2)</f>
        <v/>
      </c>
      <c r="Y48">
        <f>IF(Datos!A48="","",IF(SUMSQ(D$2:D$301)=0,0,D48/SQRT(SUMSQ(D$2:D$301)))*$BE$3)</f>
        <v/>
      </c>
      <c r="Z48">
        <f>IF(Datos!A48="","",IF(SUMSQ(E$2:E$301)=0,0,E48/SQRT(SUMSQ(E$2:E$301)))*$BE$4)</f>
        <v/>
      </c>
      <c r="AA48">
        <f>IF(Datos!A48="","",IF(SUMSQ(F$2:F$301)=0,0,F48/SQRT(SUMSQ(F$2:F$301)))*$BE$5)</f>
        <v/>
      </c>
      <c r="AB48">
        <f>IF(Datos!A48="","",IF(SUMSQ(G$2:G$301)=0,0,G48/SQRT(SUMSQ(G$2:G$301)))*$BE$6)</f>
        <v/>
      </c>
      <c r="AC48">
        <f>IF(Datos!A48="","",IF(SUMSQ(H$2:H$301)=0,0,H48/SQRT(SUMSQ(H$2:H$301)))*$BE$7)</f>
        <v/>
      </c>
      <c r="AE48">
        <f>IF(Datos!A48="","",SQRT(SUMXMY2(X48:AC48,$X$303:$AC$303)))</f>
        <v/>
      </c>
      <c r="AF48">
        <f>IF(Datos!A48="","",SQRT(SUMXMY2(X48:AC48,$X$304:$AC$304)))</f>
        <v/>
      </c>
      <c r="AG48" s="11">
        <f>IF(Datos!A48="","",IF(AE48+AF48&lt;0.000000001,0.5,AF48/(AE48+AF48)))</f>
        <v/>
      </c>
      <c r="AH48">
        <f>IF(Datos!A48="","",AG48*MAX(C48*D48,1))</f>
        <v/>
      </c>
      <c r="AI48">
        <f>IF(Datos!A48="","",SUMIF($AH$2:$AH$301,"&gt;="&amp;AH48,$AH$2:$AH$301)/SUM($AH$2:$AH$301))</f>
        <v/>
      </c>
      <c r="AJ48" s="12">
        <f>IF(Datos!A48="","",IF(AI48&lt;=Parametros!$B$13,"A",IF(AI48&lt;=Parametros!$B$14,"B","C")))</f>
        <v/>
      </c>
      <c r="AK48" s="13">
        <f>IF(Datos!A48="","",VLOOKUP(AJ48,Parametros!$A$8:$C$10,2,FALSE))</f>
        <v/>
      </c>
      <c r="AL48">
        <f>IF(Datos!A48="","",VLOOKUP(AJ48,Parametros!$A$8:$C$10,3,FALSE))</f>
        <v/>
      </c>
      <c r="AM48">
        <f>IF(Datos!A48="","",NORMSINV(AK48))</f>
        <v/>
      </c>
      <c r="AN48">
        <f>IF(Datos!A48="","",D48/Parametros!$B$4)</f>
        <v/>
      </c>
      <c r="AO48">
        <f>IF(Datos!A48="","",MAX(0,ROUNDUP(AM48*(AN48*Parametros!$B$3)*SQRT((AL48+E48)),0)))</f>
        <v/>
      </c>
      <c r="AP48">
        <f>IF(Datos!A48="","",MAX(1,ROUNDUP(AN48*(AL48+E48)+AM48*(AN48*Parametros!$B$3)*SQRT((AL48+E48)),0)))</f>
        <v/>
      </c>
      <c r="AQ48">
        <f>IF(Datos!A48="","",IF(Datos!J48="","",Datos!J48))</f>
        <v/>
      </c>
      <c r="AR48">
        <f>IF(OR(Datos!A48="",AQ48=""),"",MAX(0,AQ48-AP48))</f>
        <v/>
      </c>
      <c r="AS48" s="10">
        <f>IF(OR(Datos!A48="",AQ48=""),"",AR48*C48)</f>
        <v/>
      </c>
      <c r="AT48" s="12">
        <f>IF(OR(Datos!A48="",AQ48=""),"",IF(AQ48&lt;AO48,"SI",""))</f>
        <v/>
      </c>
      <c r="AU48">
        <f>IF(Datos!A48="","",IF(AT48="SI","Reponer ahora",IF(AND(AQ48&lt;&gt;"",AR48&gt;0),"Bajar "&amp;TEXT(AR48,"#,##0")&amp;" un.","En rango")))</f>
        <v/>
      </c>
    </row>
    <row r="49">
      <c r="A49">
        <f>IF(Datos!A49="","",Datos!A49)</f>
        <v/>
      </c>
      <c r="B49">
        <f>IF(Datos!A49="","",Datos!B49)</f>
        <v/>
      </c>
      <c r="C49">
        <f>IF(Datos!A49="","",IFERROR(MAX(0,N(Datos!D49)),0))</f>
        <v/>
      </c>
      <c r="D49">
        <f>IF(Datos!A49="","",IFERROR(MAX(0,N(Datos!E49)),0))</f>
        <v/>
      </c>
      <c r="E49">
        <f>IF(Datos!A49="","",IFERROR(MAX(0,N(Datos!F49)),0))</f>
        <v/>
      </c>
      <c r="F49">
        <f>IF(Datos!A49="","",IFERROR(MAX(0,N(Datos!G49)),0))</f>
        <v/>
      </c>
      <c r="G49">
        <f>IF(Datos!A49="","",IFERROR(MAX(0,N(Datos!H49)),0))</f>
        <v/>
      </c>
      <c r="H49">
        <f>IF(Datos!A49="","",IFERROR(MAX(0,N(Datos!I49)),0))</f>
        <v/>
      </c>
      <c r="J49">
        <f>IF(Datos!A49="","",IF(MAX(C$2:C$301)-MIN(C$2:C$301)&lt;0.000000001,0.5,(C49-MIN(C$2:C$301))/(MAX(C$2:C$301)-MIN(C$2:C$301)))+0.000000001)</f>
        <v/>
      </c>
      <c r="K49">
        <f>IF(Datos!A49="","",IF(MAX(D$2:D$301)-MIN(D$2:D$301)&lt;0.000000001,0.5,(D49-MIN(D$2:D$301))/(MAX(D$2:D$301)-MIN(D$2:D$301)))+0.000000001)</f>
        <v/>
      </c>
      <c r="L49">
        <f>IF(Datos!A49="","",IF(MAX(E$2:E$301)-MIN(E$2:E$301)&lt;0.000000001,0.5,(E49-MIN(E$2:E$301))/(MAX(E$2:E$301)-MIN(E$2:E$301)))+0.000000001)</f>
        <v/>
      </c>
      <c r="M49">
        <f>IF(Datos!A49="","",IF(MAX(F$2:F$301)-MIN(F$2:F$301)&lt;0.000000001,0.5,(F49-MIN(F$2:F$301))/(MAX(F$2:F$301)-MIN(F$2:F$301)))+0.000000001)</f>
        <v/>
      </c>
      <c r="N49">
        <f>IF(Datos!A49="","",IF(MAX(G$2:G$301)-MIN(G$2:G$301)&lt;0.000000001,0.5,(G49-MIN(G$2:G$301))/(MAX(G$2:G$301)-MIN(G$2:G$301)))+0.000000001)</f>
        <v/>
      </c>
      <c r="O49">
        <f>IF(Datos!A49="","",IF(MAX(H$2:H$301)-MIN(H$2:H$301)&lt;0.000000001,0.5,(H49-MIN(H$2:H$301))/(MAX(H$2:H$301)-MIN(H$2:H$301)))+0.000000001)</f>
        <v/>
      </c>
      <c r="Q49">
        <f>IF(Datos!A49="","",(J49/SUM(J$2:J$301))*LN(J49/SUM(J$2:J$301)))</f>
        <v/>
      </c>
      <c r="R49">
        <f>IF(Datos!A49="","",(K49/SUM(K$2:K$301))*LN(K49/SUM(K$2:K$301)))</f>
        <v/>
      </c>
      <c r="S49">
        <f>IF(Datos!A49="","",(L49/SUM(L$2:L$301))*LN(L49/SUM(L$2:L$301)))</f>
        <v/>
      </c>
      <c r="T49">
        <f>IF(Datos!A49="","",(M49/SUM(M$2:M$301))*LN(M49/SUM(M$2:M$301)))</f>
        <v/>
      </c>
      <c r="U49">
        <f>IF(Datos!A49="","",(N49/SUM(N$2:N$301))*LN(N49/SUM(N$2:N$301)))</f>
        <v/>
      </c>
      <c r="V49">
        <f>IF(Datos!A49="","",(O49/SUM(O$2:O$301))*LN(O49/SUM(O$2:O$301)))</f>
        <v/>
      </c>
      <c r="X49">
        <f>IF(Datos!A49="","",IF(SUMSQ(C$2:C$301)=0,0,C49/SQRT(SUMSQ(C$2:C$301)))*$BE$2)</f>
        <v/>
      </c>
      <c r="Y49">
        <f>IF(Datos!A49="","",IF(SUMSQ(D$2:D$301)=0,0,D49/SQRT(SUMSQ(D$2:D$301)))*$BE$3)</f>
        <v/>
      </c>
      <c r="Z49">
        <f>IF(Datos!A49="","",IF(SUMSQ(E$2:E$301)=0,0,E49/SQRT(SUMSQ(E$2:E$301)))*$BE$4)</f>
        <v/>
      </c>
      <c r="AA49">
        <f>IF(Datos!A49="","",IF(SUMSQ(F$2:F$301)=0,0,F49/SQRT(SUMSQ(F$2:F$301)))*$BE$5)</f>
        <v/>
      </c>
      <c r="AB49">
        <f>IF(Datos!A49="","",IF(SUMSQ(G$2:G$301)=0,0,G49/SQRT(SUMSQ(G$2:G$301)))*$BE$6)</f>
        <v/>
      </c>
      <c r="AC49">
        <f>IF(Datos!A49="","",IF(SUMSQ(H$2:H$301)=0,0,H49/SQRT(SUMSQ(H$2:H$301)))*$BE$7)</f>
        <v/>
      </c>
      <c r="AE49">
        <f>IF(Datos!A49="","",SQRT(SUMXMY2(X49:AC49,$X$303:$AC$303)))</f>
        <v/>
      </c>
      <c r="AF49">
        <f>IF(Datos!A49="","",SQRT(SUMXMY2(X49:AC49,$X$304:$AC$304)))</f>
        <v/>
      </c>
      <c r="AG49" s="11">
        <f>IF(Datos!A49="","",IF(AE49+AF49&lt;0.000000001,0.5,AF49/(AE49+AF49)))</f>
        <v/>
      </c>
      <c r="AH49">
        <f>IF(Datos!A49="","",AG49*MAX(C49*D49,1))</f>
        <v/>
      </c>
      <c r="AI49">
        <f>IF(Datos!A49="","",SUMIF($AH$2:$AH$301,"&gt;="&amp;AH49,$AH$2:$AH$301)/SUM($AH$2:$AH$301))</f>
        <v/>
      </c>
      <c r="AJ49" s="12">
        <f>IF(Datos!A49="","",IF(AI49&lt;=Parametros!$B$13,"A",IF(AI49&lt;=Parametros!$B$14,"B","C")))</f>
        <v/>
      </c>
      <c r="AK49" s="13">
        <f>IF(Datos!A49="","",VLOOKUP(AJ49,Parametros!$A$8:$C$10,2,FALSE))</f>
        <v/>
      </c>
      <c r="AL49">
        <f>IF(Datos!A49="","",VLOOKUP(AJ49,Parametros!$A$8:$C$10,3,FALSE))</f>
        <v/>
      </c>
      <c r="AM49">
        <f>IF(Datos!A49="","",NORMSINV(AK49))</f>
        <v/>
      </c>
      <c r="AN49">
        <f>IF(Datos!A49="","",D49/Parametros!$B$4)</f>
        <v/>
      </c>
      <c r="AO49">
        <f>IF(Datos!A49="","",MAX(0,ROUNDUP(AM49*(AN49*Parametros!$B$3)*SQRT((AL49+E49)),0)))</f>
        <v/>
      </c>
      <c r="AP49">
        <f>IF(Datos!A49="","",MAX(1,ROUNDUP(AN49*(AL49+E49)+AM49*(AN49*Parametros!$B$3)*SQRT((AL49+E49)),0)))</f>
        <v/>
      </c>
      <c r="AQ49">
        <f>IF(Datos!A49="","",IF(Datos!J49="","",Datos!J49))</f>
        <v/>
      </c>
      <c r="AR49">
        <f>IF(OR(Datos!A49="",AQ49=""),"",MAX(0,AQ49-AP49))</f>
        <v/>
      </c>
      <c r="AS49" s="10">
        <f>IF(OR(Datos!A49="",AQ49=""),"",AR49*C49)</f>
        <v/>
      </c>
      <c r="AT49" s="12">
        <f>IF(OR(Datos!A49="",AQ49=""),"",IF(AQ49&lt;AO49,"SI",""))</f>
        <v/>
      </c>
      <c r="AU49">
        <f>IF(Datos!A49="","",IF(AT49="SI","Reponer ahora",IF(AND(AQ49&lt;&gt;"",AR49&gt;0),"Bajar "&amp;TEXT(AR49,"#,##0")&amp;" un.","En rango")))</f>
        <v/>
      </c>
    </row>
    <row r="50">
      <c r="A50">
        <f>IF(Datos!A50="","",Datos!A50)</f>
        <v/>
      </c>
      <c r="B50">
        <f>IF(Datos!A50="","",Datos!B50)</f>
        <v/>
      </c>
      <c r="C50">
        <f>IF(Datos!A50="","",IFERROR(MAX(0,N(Datos!D50)),0))</f>
        <v/>
      </c>
      <c r="D50">
        <f>IF(Datos!A50="","",IFERROR(MAX(0,N(Datos!E50)),0))</f>
        <v/>
      </c>
      <c r="E50">
        <f>IF(Datos!A50="","",IFERROR(MAX(0,N(Datos!F50)),0))</f>
        <v/>
      </c>
      <c r="F50">
        <f>IF(Datos!A50="","",IFERROR(MAX(0,N(Datos!G50)),0))</f>
        <v/>
      </c>
      <c r="G50">
        <f>IF(Datos!A50="","",IFERROR(MAX(0,N(Datos!H50)),0))</f>
        <v/>
      </c>
      <c r="H50">
        <f>IF(Datos!A50="","",IFERROR(MAX(0,N(Datos!I50)),0))</f>
        <v/>
      </c>
      <c r="J50">
        <f>IF(Datos!A50="","",IF(MAX(C$2:C$301)-MIN(C$2:C$301)&lt;0.000000001,0.5,(C50-MIN(C$2:C$301))/(MAX(C$2:C$301)-MIN(C$2:C$301)))+0.000000001)</f>
        <v/>
      </c>
      <c r="K50">
        <f>IF(Datos!A50="","",IF(MAX(D$2:D$301)-MIN(D$2:D$301)&lt;0.000000001,0.5,(D50-MIN(D$2:D$301))/(MAX(D$2:D$301)-MIN(D$2:D$301)))+0.000000001)</f>
        <v/>
      </c>
      <c r="L50">
        <f>IF(Datos!A50="","",IF(MAX(E$2:E$301)-MIN(E$2:E$301)&lt;0.000000001,0.5,(E50-MIN(E$2:E$301))/(MAX(E$2:E$301)-MIN(E$2:E$301)))+0.000000001)</f>
        <v/>
      </c>
      <c r="M50">
        <f>IF(Datos!A50="","",IF(MAX(F$2:F$301)-MIN(F$2:F$301)&lt;0.000000001,0.5,(F50-MIN(F$2:F$301))/(MAX(F$2:F$301)-MIN(F$2:F$301)))+0.000000001)</f>
        <v/>
      </c>
      <c r="N50">
        <f>IF(Datos!A50="","",IF(MAX(G$2:G$301)-MIN(G$2:G$301)&lt;0.000000001,0.5,(G50-MIN(G$2:G$301))/(MAX(G$2:G$301)-MIN(G$2:G$301)))+0.000000001)</f>
        <v/>
      </c>
      <c r="O50">
        <f>IF(Datos!A50="","",IF(MAX(H$2:H$301)-MIN(H$2:H$301)&lt;0.000000001,0.5,(H50-MIN(H$2:H$301))/(MAX(H$2:H$301)-MIN(H$2:H$301)))+0.000000001)</f>
        <v/>
      </c>
      <c r="Q50">
        <f>IF(Datos!A50="","",(J50/SUM(J$2:J$301))*LN(J50/SUM(J$2:J$301)))</f>
        <v/>
      </c>
      <c r="R50">
        <f>IF(Datos!A50="","",(K50/SUM(K$2:K$301))*LN(K50/SUM(K$2:K$301)))</f>
        <v/>
      </c>
      <c r="S50">
        <f>IF(Datos!A50="","",(L50/SUM(L$2:L$301))*LN(L50/SUM(L$2:L$301)))</f>
        <v/>
      </c>
      <c r="T50">
        <f>IF(Datos!A50="","",(M50/SUM(M$2:M$301))*LN(M50/SUM(M$2:M$301)))</f>
        <v/>
      </c>
      <c r="U50">
        <f>IF(Datos!A50="","",(N50/SUM(N$2:N$301))*LN(N50/SUM(N$2:N$301)))</f>
        <v/>
      </c>
      <c r="V50">
        <f>IF(Datos!A50="","",(O50/SUM(O$2:O$301))*LN(O50/SUM(O$2:O$301)))</f>
        <v/>
      </c>
      <c r="X50">
        <f>IF(Datos!A50="","",IF(SUMSQ(C$2:C$301)=0,0,C50/SQRT(SUMSQ(C$2:C$301)))*$BE$2)</f>
        <v/>
      </c>
      <c r="Y50">
        <f>IF(Datos!A50="","",IF(SUMSQ(D$2:D$301)=0,0,D50/SQRT(SUMSQ(D$2:D$301)))*$BE$3)</f>
        <v/>
      </c>
      <c r="Z50">
        <f>IF(Datos!A50="","",IF(SUMSQ(E$2:E$301)=0,0,E50/SQRT(SUMSQ(E$2:E$301)))*$BE$4)</f>
        <v/>
      </c>
      <c r="AA50">
        <f>IF(Datos!A50="","",IF(SUMSQ(F$2:F$301)=0,0,F50/SQRT(SUMSQ(F$2:F$301)))*$BE$5)</f>
        <v/>
      </c>
      <c r="AB50">
        <f>IF(Datos!A50="","",IF(SUMSQ(G$2:G$301)=0,0,G50/SQRT(SUMSQ(G$2:G$301)))*$BE$6)</f>
        <v/>
      </c>
      <c r="AC50">
        <f>IF(Datos!A50="","",IF(SUMSQ(H$2:H$301)=0,0,H50/SQRT(SUMSQ(H$2:H$301)))*$BE$7)</f>
        <v/>
      </c>
      <c r="AE50">
        <f>IF(Datos!A50="","",SQRT(SUMXMY2(X50:AC50,$X$303:$AC$303)))</f>
        <v/>
      </c>
      <c r="AF50">
        <f>IF(Datos!A50="","",SQRT(SUMXMY2(X50:AC50,$X$304:$AC$304)))</f>
        <v/>
      </c>
      <c r="AG50" s="11">
        <f>IF(Datos!A50="","",IF(AE50+AF50&lt;0.000000001,0.5,AF50/(AE50+AF50)))</f>
        <v/>
      </c>
      <c r="AH50">
        <f>IF(Datos!A50="","",AG50*MAX(C50*D50,1))</f>
        <v/>
      </c>
      <c r="AI50">
        <f>IF(Datos!A50="","",SUMIF($AH$2:$AH$301,"&gt;="&amp;AH50,$AH$2:$AH$301)/SUM($AH$2:$AH$301))</f>
        <v/>
      </c>
      <c r="AJ50" s="12">
        <f>IF(Datos!A50="","",IF(AI50&lt;=Parametros!$B$13,"A",IF(AI50&lt;=Parametros!$B$14,"B","C")))</f>
        <v/>
      </c>
      <c r="AK50" s="13">
        <f>IF(Datos!A50="","",VLOOKUP(AJ50,Parametros!$A$8:$C$10,2,FALSE))</f>
        <v/>
      </c>
      <c r="AL50">
        <f>IF(Datos!A50="","",VLOOKUP(AJ50,Parametros!$A$8:$C$10,3,FALSE))</f>
        <v/>
      </c>
      <c r="AM50">
        <f>IF(Datos!A50="","",NORMSINV(AK50))</f>
        <v/>
      </c>
      <c r="AN50">
        <f>IF(Datos!A50="","",D50/Parametros!$B$4)</f>
        <v/>
      </c>
      <c r="AO50">
        <f>IF(Datos!A50="","",MAX(0,ROUNDUP(AM50*(AN50*Parametros!$B$3)*SQRT((AL50+E50)),0)))</f>
        <v/>
      </c>
      <c r="AP50">
        <f>IF(Datos!A50="","",MAX(1,ROUNDUP(AN50*(AL50+E50)+AM50*(AN50*Parametros!$B$3)*SQRT((AL50+E50)),0)))</f>
        <v/>
      </c>
      <c r="AQ50">
        <f>IF(Datos!A50="","",IF(Datos!J50="","",Datos!J50))</f>
        <v/>
      </c>
      <c r="AR50">
        <f>IF(OR(Datos!A50="",AQ50=""),"",MAX(0,AQ50-AP50))</f>
        <v/>
      </c>
      <c r="AS50" s="10">
        <f>IF(OR(Datos!A50="",AQ50=""),"",AR50*C50)</f>
        <v/>
      </c>
      <c r="AT50" s="12">
        <f>IF(OR(Datos!A50="",AQ50=""),"",IF(AQ50&lt;AO50,"SI",""))</f>
        <v/>
      </c>
      <c r="AU50">
        <f>IF(Datos!A50="","",IF(AT50="SI","Reponer ahora",IF(AND(AQ50&lt;&gt;"",AR50&gt;0),"Bajar "&amp;TEXT(AR50,"#,##0")&amp;" un.","En rango")))</f>
        <v/>
      </c>
    </row>
    <row r="51">
      <c r="A51">
        <f>IF(Datos!A51="","",Datos!A51)</f>
        <v/>
      </c>
      <c r="B51">
        <f>IF(Datos!A51="","",Datos!B51)</f>
        <v/>
      </c>
      <c r="C51">
        <f>IF(Datos!A51="","",IFERROR(MAX(0,N(Datos!D51)),0))</f>
        <v/>
      </c>
      <c r="D51">
        <f>IF(Datos!A51="","",IFERROR(MAX(0,N(Datos!E51)),0))</f>
        <v/>
      </c>
      <c r="E51">
        <f>IF(Datos!A51="","",IFERROR(MAX(0,N(Datos!F51)),0))</f>
        <v/>
      </c>
      <c r="F51">
        <f>IF(Datos!A51="","",IFERROR(MAX(0,N(Datos!G51)),0))</f>
        <v/>
      </c>
      <c r="G51">
        <f>IF(Datos!A51="","",IFERROR(MAX(0,N(Datos!H51)),0))</f>
        <v/>
      </c>
      <c r="H51">
        <f>IF(Datos!A51="","",IFERROR(MAX(0,N(Datos!I51)),0))</f>
        <v/>
      </c>
      <c r="J51">
        <f>IF(Datos!A51="","",IF(MAX(C$2:C$301)-MIN(C$2:C$301)&lt;0.000000001,0.5,(C51-MIN(C$2:C$301))/(MAX(C$2:C$301)-MIN(C$2:C$301)))+0.000000001)</f>
        <v/>
      </c>
      <c r="K51">
        <f>IF(Datos!A51="","",IF(MAX(D$2:D$301)-MIN(D$2:D$301)&lt;0.000000001,0.5,(D51-MIN(D$2:D$301))/(MAX(D$2:D$301)-MIN(D$2:D$301)))+0.000000001)</f>
        <v/>
      </c>
      <c r="L51">
        <f>IF(Datos!A51="","",IF(MAX(E$2:E$301)-MIN(E$2:E$301)&lt;0.000000001,0.5,(E51-MIN(E$2:E$301))/(MAX(E$2:E$301)-MIN(E$2:E$301)))+0.000000001)</f>
        <v/>
      </c>
      <c r="M51">
        <f>IF(Datos!A51="","",IF(MAX(F$2:F$301)-MIN(F$2:F$301)&lt;0.000000001,0.5,(F51-MIN(F$2:F$301))/(MAX(F$2:F$301)-MIN(F$2:F$301)))+0.000000001)</f>
        <v/>
      </c>
      <c r="N51">
        <f>IF(Datos!A51="","",IF(MAX(G$2:G$301)-MIN(G$2:G$301)&lt;0.000000001,0.5,(G51-MIN(G$2:G$301))/(MAX(G$2:G$301)-MIN(G$2:G$301)))+0.000000001)</f>
        <v/>
      </c>
      <c r="O51">
        <f>IF(Datos!A51="","",IF(MAX(H$2:H$301)-MIN(H$2:H$301)&lt;0.000000001,0.5,(H51-MIN(H$2:H$301))/(MAX(H$2:H$301)-MIN(H$2:H$301)))+0.000000001)</f>
        <v/>
      </c>
      <c r="Q51">
        <f>IF(Datos!A51="","",(J51/SUM(J$2:J$301))*LN(J51/SUM(J$2:J$301)))</f>
        <v/>
      </c>
      <c r="R51">
        <f>IF(Datos!A51="","",(K51/SUM(K$2:K$301))*LN(K51/SUM(K$2:K$301)))</f>
        <v/>
      </c>
      <c r="S51">
        <f>IF(Datos!A51="","",(L51/SUM(L$2:L$301))*LN(L51/SUM(L$2:L$301)))</f>
        <v/>
      </c>
      <c r="T51">
        <f>IF(Datos!A51="","",(M51/SUM(M$2:M$301))*LN(M51/SUM(M$2:M$301)))</f>
        <v/>
      </c>
      <c r="U51">
        <f>IF(Datos!A51="","",(N51/SUM(N$2:N$301))*LN(N51/SUM(N$2:N$301)))</f>
        <v/>
      </c>
      <c r="V51">
        <f>IF(Datos!A51="","",(O51/SUM(O$2:O$301))*LN(O51/SUM(O$2:O$301)))</f>
        <v/>
      </c>
      <c r="X51">
        <f>IF(Datos!A51="","",IF(SUMSQ(C$2:C$301)=0,0,C51/SQRT(SUMSQ(C$2:C$301)))*$BE$2)</f>
        <v/>
      </c>
      <c r="Y51">
        <f>IF(Datos!A51="","",IF(SUMSQ(D$2:D$301)=0,0,D51/SQRT(SUMSQ(D$2:D$301)))*$BE$3)</f>
        <v/>
      </c>
      <c r="Z51">
        <f>IF(Datos!A51="","",IF(SUMSQ(E$2:E$301)=0,0,E51/SQRT(SUMSQ(E$2:E$301)))*$BE$4)</f>
        <v/>
      </c>
      <c r="AA51">
        <f>IF(Datos!A51="","",IF(SUMSQ(F$2:F$301)=0,0,F51/SQRT(SUMSQ(F$2:F$301)))*$BE$5)</f>
        <v/>
      </c>
      <c r="AB51">
        <f>IF(Datos!A51="","",IF(SUMSQ(G$2:G$301)=0,0,G51/SQRT(SUMSQ(G$2:G$301)))*$BE$6)</f>
        <v/>
      </c>
      <c r="AC51">
        <f>IF(Datos!A51="","",IF(SUMSQ(H$2:H$301)=0,0,H51/SQRT(SUMSQ(H$2:H$301)))*$BE$7)</f>
        <v/>
      </c>
      <c r="AE51">
        <f>IF(Datos!A51="","",SQRT(SUMXMY2(X51:AC51,$X$303:$AC$303)))</f>
        <v/>
      </c>
      <c r="AF51">
        <f>IF(Datos!A51="","",SQRT(SUMXMY2(X51:AC51,$X$304:$AC$304)))</f>
        <v/>
      </c>
      <c r="AG51" s="11">
        <f>IF(Datos!A51="","",IF(AE51+AF51&lt;0.000000001,0.5,AF51/(AE51+AF51)))</f>
        <v/>
      </c>
      <c r="AH51">
        <f>IF(Datos!A51="","",AG51*MAX(C51*D51,1))</f>
        <v/>
      </c>
      <c r="AI51">
        <f>IF(Datos!A51="","",SUMIF($AH$2:$AH$301,"&gt;="&amp;AH51,$AH$2:$AH$301)/SUM($AH$2:$AH$301))</f>
        <v/>
      </c>
      <c r="AJ51" s="12">
        <f>IF(Datos!A51="","",IF(AI51&lt;=Parametros!$B$13,"A",IF(AI51&lt;=Parametros!$B$14,"B","C")))</f>
        <v/>
      </c>
      <c r="AK51" s="13">
        <f>IF(Datos!A51="","",VLOOKUP(AJ51,Parametros!$A$8:$C$10,2,FALSE))</f>
        <v/>
      </c>
      <c r="AL51">
        <f>IF(Datos!A51="","",VLOOKUP(AJ51,Parametros!$A$8:$C$10,3,FALSE))</f>
        <v/>
      </c>
      <c r="AM51">
        <f>IF(Datos!A51="","",NORMSINV(AK51))</f>
        <v/>
      </c>
      <c r="AN51">
        <f>IF(Datos!A51="","",D51/Parametros!$B$4)</f>
        <v/>
      </c>
      <c r="AO51">
        <f>IF(Datos!A51="","",MAX(0,ROUNDUP(AM51*(AN51*Parametros!$B$3)*SQRT((AL51+E51)),0)))</f>
        <v/>
      </c>
      <c r="AP51">
        <f>IF(Datos!A51="","",MAX(1,ROUNDUP(AN51*(AL51+E51)+AM51*(AN51*Parametros!$B$3)*SQRT((AL51+E51)),0)))</f>
        <v/>
      </c>
      <c r="AQ51">
        <f>IF(Datos!A51="","",IF(Datos!J51="","",Datos!J51))</f>
        <v/>
      </c>
      <c r="AR51">
        <f>IF(OR(Datos!A51="",AQ51=""),"",MAX(0,AQ51-AP51))</f>
        <v/>
      </c>
      <c r="AS51" s="10">
        <f>IF(OR(Datos!A51="",AQ51=""),"",AR51*C51)</f>
        <v/>
      </c>
      <c r="AT51" s="12">
        <f>IF(OR(Datos!A51="",AQ51=""),"",IF(AQ51&lt;AO51,"SI",""))</f>
        <v/>
      </c>
      <c r="AU51">
        <f>IF(Datos!A51="","",IF(AT51="SI","Reponer ahora",IF(AND(AQ51&lt;&gt;"",AR51&gt;0),"Bajar "&amp;TEXT(AR51,"#,##0")&amp;" un.","En rango")))</f>
        <v/>
      </c>
    </row>
    <row r="52">
      <c r="A52">
        <f>IF(Datos!A52="","",Datos!A52)</f>
        <v/>
      </c>
      <c r="B52">
        <f>IF(Datos!A52="","",Datos!B52)</f>
        <v/>
      </c>
      <c r="C52">
        <f>IF(Datos!A52="","",IFERROR(MAX(0,N(Datos!D52)),0))</f>
        <v/>
      </c>
      <c r="D52">
        <f>IF(Datos!A52="","",IFERROR(MAX(0,N(Datos!E52)),0))</f>
        <v/>
      </c>
      <c r="E52">
        <f>IF(Datos!A52="","",IFERROR(MAX(0,N(Datos!F52)),0))</f>
        <v/>
      </c>
      <c r="F52">
        <f>IF(Datos!A52="","",IFERROR(MAX(0,N(Datos!G52)),0))</f>
        <v/>
      </c>
      <c r="G52">
        <f>IF(Datos!A52="","",IFERROR(MAX(0,N(Datos!H52)),0))</f>
        <v/>
      </c>
      <c r="H52">
        <f>IF(Datos!A52="","",IFERROR(MAX(0,N(Datos!I52)),0))</f>
        <v/>
      </c>
      <c r="J52">
        <f>IF(Datos!A52="","",IF(MAX(C$2:C$301)-MIN(C$2:C$301)&lt;0.000000001,0.5,(C52-MIN(C$2:C$301))/(MAX(C$2:C$301)-MIN(C$2:C$301)))+0.000000001)</f>
        <v/>
      </c>
      <c r="K52">
        <f>IF(Datos!A52="","",IF(MAX(D$2:D$301)-MIN(D$2:D$301)&lt;0.000000001,0.5,(D52-MIN(D$2:D$301))/(MAX(D$2:D$301)-MIN(D$2:D$301)))+0.000000001)</f>
        <v/>
      </c>
      <c r="L52">
        <f>IF(Datos!A52="","",IF(MAX(E$2:E$301)-MIN(E$2:E$301)&lt;0.000000001,0.5,(E52-MIN(E$2:E$301))/(MAX(E$2:E$301)-MIN(E$2:E$301)))+0.000000001)</f>
        <v/>
      </c>
      <c r="M52">
        <f>IF(Datos!A52="","",IF(MAX(F$2:F$301)-MIN(F$2:F$301)&lt;0.000000001,0.5,(F52-MIN(F$2:F$301))/(MAX(F$2:F$301)-MIN(F$2:F$301)))+0.000000001)</f>
        <v/>
      </c>
      <c r="N52">
        <f>IF(Datos!A52="","",IF(MAX(G$2:G$301)-MIN(G$2:G$301)&lt;0.000000001,0.5,(G52-MIN(G$2:G$301))/(MAX(G$2:G$301)-MIN(G$2:G$301)))+0.000000001)</f>
        <v/>
      </c>
      <c r="O52">
        <f>IF(Datos!A52="","",IF(MAX(H$2:H$301)-MIN(H$2:H$301)&lt;0.000000001,0.5,(H52-MIN(H$2:H$301))/(MAX(H$2:H$301)-MIN(H$2:H$301)))+0.000000001)</f>
        <v/>
      </c>
      <c r="Q52">
        <f>IF(Datos!A52="","",(J52/SUM(J$2:J$301))*LN(J52/SUM(J$2:J$301)))</f>
        <v/>
      </c>
      <c r="R52">
        <f>IF(Datos!A52="","",(K52/SUM(K$2:K$301))*LN(K52/SUM(K$2:K$301)))</f>
        <v/>
      </c>
      <c r="S52">
        <f>IF(Datos!A52="","",(L52/SUM(L$2:L$301))*LN(L52/SUM(L$2:L$301)))</f>
        <v/>
      </c>
      <c r="T52">
        <f>IF(Datos!A52="","",(M52/SUM(M$2:M$301))*LN(M52/SUM(M$2:M$301)))</f>
        <v/>
      </c>
      <c r="U52">
        <f>IF(Datos!A52="","",(N52/SUM(N$2:N$301))*LN(N52/SUM(N$2:N$301)))</f>
        <v/>
      </c>
      <c r="V52">
        <f>IF(Datos!A52="","",(O52/SUM(O$2:O$301))*LN(O52/SUM(O$2:O$301)))</f>
        <v/>
      </c>
      <c r="X52">
        <f>IF(Datos!A52="","",IF(SUMSQ(C$2:C$301)=0,0,C52/SQRT(SUMSQ(C$2:C$301)))*$BE$2)</f>
        <v/>
      </c>
      <c r="Y52">
        <f>IF(Datos!A52="","",IF(SUMSQ(D$2:D$301)=0,0,D52/SQRT(SUMSQ(D$2:D$301)))*$BE$3)</f>
        <v/>
      </c>
      <c r="Z52">
        <f>IF(Datos!A52="","",IF(SUMSQ(E$2:E$301)=0,0,E52/SQRT(SUMSQ(E$2:E$301)))*$BE$4)</f>
        <v/>
      </c>
      <c r="AA52">
        <f>IF(Datos!A52="","",IF(SUMSQ(F$2:F$301)=0,0,F52/SQRT(SUMSQ(F$2:F$301)))*$BE$5)</f>
        <v/>
      </c>
      <c r="AB52">
        <f>IF(Datos!A52="","",IF(SUMSQ(G$2:G$301)=0,0,G52/SQRT(SUMSQ(G$2:G$301)))*$BE$6)</f>
        <v/>
      </c>
      <c r="AC52">
        <f>IF(Datos!A52="","",IF(SUMSQ(H$2:H$301)=0,0,H52/SQRT(SUMSQ(H$2:H$301)))*$BE$7)</f>
        <v/>
      </c>
      <c r="AE52">
        <f>IF(Datos!A52="","",SQRT(SUMXMY2(X52:AC52,$X$303:$AC$303)))</f>
        <v/>
      </c>
      <c r="AF52">
        <f>IF(Datos!A52="","",SQRT(SUMXMY2(X52:AC52,$X$304:$AC$304)))</f>
        <v/>
      </c>
      <c r="AG52" s="11">
        <f>IF(Datos!A52="","",IF(AE52+AF52&lt;0.000000001,0.5,AF52/(AE52+AF52)))</f>
        <v/>
      </c>
      <c r="AH52">
        <f>IF(Datos!A52="","",AG52*MAX(C52*D52,1))</f>
        <v/>
      </c>
      <c r="AI52">
        <f>IF(Datos!A52="","",SUMIF($AH$2:$AH$301,"&gt;="&amp;AH52,$AH$2:$AH$301)/SUM($AH$2:$AH$301))</f>
        <v/>
      </c>
      <c r="AJ52" s="12">
        <f>IF(Datos!A52="","",IF(AI52&lt;=Parametros!$B$13,"A",IF(AI52&lt;=Parametros!$B$14,"B","C")))</f>
        <v/>
      </c>
      <c r="AK52" s="13">
        <f>IF(Datos!A52="","",VLOOKUP(AJ52,Parametros!$A$8:$C$10,2,FALSE))</f>
        <v/>
      </c>
      <c r="AL52">
        <f>IF(Datos!A52="","",VLOOKUP(AJ52,Parametros!$A$8:$C$10,3,FALSE))</f>
        <v/>
      </c>
      <c r="AM52">
        <f>IF(Datos!A52="","",NORMSINV(AK52))</f>
        <v/>
      </c>
      <c r="AN52">
        <f>IF(Datos!A52="","",D52/Parametros!$B$4)</f>
        <v/>
      </c>
      <c r="AO52">
        <f>IF(Datos!A52="","",MAX(0,ROUNDUP(AM52*(AN52*Parametros!$B$3)*SQRT((AL52+E52)),0)))</f>
        <v/>
      </c>
      <c r="AP52">
        <f>IF(Datos!A52="","",MAX(1,ROUNDUP(AN52*(AL52+E52)+AM52*(AN52*Parametros!$B$3)*SQRT((AL52+E52)),0)))</f>
        <v/>
      </c>
      <c r="AQ52">
        <f>IF(Datos!A52="","",IF(Datos!J52="","",Datos!J52))</f>
        <v/>
      </c>
      <c r="AR52">
        <f>IF(OR(Datos!A52="",AQ52=""),"",MAX(0,AQ52-AP52))</f>
        <v/>
      </c>
      <c r="AS52" s="10">
        <f>IF(OR(Datos!A52="",AQ52=""),"",AR52*C52)</f>
        <v/>
      </c>
      <c r="AT52" s="12">
        <f>IF(OR(Datos!A52="",AQ52=""),"",IF(AQ52&lt;AO52,"SI",""))</f>
        <v/>
      </c>
      <c r="AU52">
        <f>IF(Datos!A52="","",IF(AT52="SI","Reponer ahora",IF(AND(AQ52&lt;&gt;"",AR52&gt;0),"Bajar "&amp;TEXT(AR52,"#,##0")&amp;" un.","En rango")))</f>
        <v/>
      </c>
    </row>
    <row r="53">
      <c r="A53">
        <f>IF(Datos!A53="","",Datos!A53)</f>
        <v/>
      </c>
      <c r="B53">
        <f>IF(Datos!A53="","",Datos!B53)</f>
        <v/>
      </c>
      <c r="C53">
        <f>IF(Datos!A53="","",IFERROR(MAX(0,N(Datos!D53)),0))</f>
        <v/>
      </c>
      <c r="D53">
        <f>IF(Datos!A53="","",IFERROR(MAX(0,N(Datos!E53)),0))</f>
        <v/>
      </c>
      <c r="E53">
        <f>IF(Datos!A53="","",IFERROR(MAX(0,N(Datos!F53)),0))</f>
        <v/>
      </c>
      <c r="F53">
        <f>IF(Datos!A53="","",IFERROR(MAX(0,N(Datos!G53)),0))</f>
        <v/>
      </c>
      <c r="G53">
        <f>IF(Datos!A53="","",IFERROR(MAX(0,N(Datos!H53)),0))</f>
        <v/>
      </c>
      <c r="H53">
        <f>IF(Datos!A53="","",IFERROR(MAX(0,N(Datos!I53)),0))</f>
        <v/>
      </c>
      <c r="J53">
        <f>IF(Datos!A53="","",IF(MAX(C$2:C$301)-MIN(C$2:C$301)&lt;0.000000001,0.5,(C53-MIN(C$2:C$301))/(MAX(C$2:C$301)-MIN(C$2:C$301)))+0.000000001)</f>
        <v/>
      </c>
      <c r="K53">
        <f>IF(Datos!A53="","",IF(MAX(D$2:D$301)-MIN(D$2:D$301)&lt;0.000000001,0.5,(D53-MIN(D$2:D$301))/(MAX(D$2:D$301)-MIN(D$2:D$301)))+0.000000001)</f>
        <v/>
      </c>
      <c r="L53">
        <f>IF(Datos!A53="","",IF(MAX(E$2:E$301)-MIN(E$2:E$301)&lt;0.000000001,0.5,(E53-MIN(E$2:E$301))/(MAX(E$2:E$301)-MIN(E$2:E$301)))+0.000000001)</f>
        <v/>
      </c>
      <c r="M53">
        <f>IF(Datos!A53="","",IF(MAX(F$2:F$301)-MIN(F$2:F$301)&lt;0.000000001,0.5,(F53-MIN(F$2:F$301))/(MAX(F$2:F$301)-MIN(F$2:F$301)))+0.000000001)</f>
        <v/>
      </c>
      <c r="N53">
        <f>IF(Datos!A53="","",IF(MAX(G$2:G$301)-MIN(G$2:G$301)&lt;0.000000001,0.5,(G53-MIN(G$2:G$301))/(MAX(G$2:G$301)-MIN(G$2:G$301)))+0.000000001)</f>
        <v/>
      </c>
      <c r="O53">
        <f>IF(Datos!A53="","",IF(MAX(H$2:H$301)-MIN(H$2:H$301)&lt;0.000000001,0.5,(H53-MIN(H$2:H$301))/(MAX(H$2:H$301)-MIN(H$2:H$301)))+0.000000001)</f>
        <v/>
      </c>
      <c r="Q53">
        <f>IF(Datos!A53="","",(J53/SUM(J$2:J$301))*LN(J53/SUM(J$2:J$301)))</f>
        <v/>
      </c>
      <c r="R53">
        <f>IF(Datos!A53="","",(K53/SUM(K$2:K$301))*LN(K53/SUM(K$2:K$301)))</f>
        <v/>
      </c>
      <c r="S53">
        <f>IF(Datos!A53="","",(L53/SUM(L$2:L$301))*LN(L53/SUM(L$2:L$301)))</f>
        <v/>
      </c>
      <c r="T53">
        <f>IF(Datos!A53="","",(M53/SUM(M$2:M$301))*LN(M53/SUM(M$2:M$301)))</f>
        <v/>
      </c>
      <c r="U53">
        <f>IF(Datos!A53="","",(N53/SUM(N$2:N$301))*LN(N53/SUM(N$2:N$301)))</f>
        <v/>
      </c>
      <c r="V53">
        <f>IF(Datos!A53="","",(O53/SUM(O$2:O$301))*LN(O53/SUM(O$2:O$301)))</f>
        <v/>
      </c>
      <c r="X53">
        <f>IF(Datos!A53="","",IF(SUMSQ(C$2:C$301)=0,0,C53/SQRT(SUMSQ(C$2:C$301)))*$BE$2)</f>
        <v/>
      </c>
      <c r="Y53">
        <f>IF(Datos!A53="","",IF(SUMSQ(D$2:D$301)=0,0,D53/SQRT(SUMSQ(D$2:D$301)))*$BE$3)</f>
        <v/>
      </c>
      <c r="Z53">
        <f>IF(Datos!A53="","",IF(SUMSQ(E$2:E$301)=0,0,E53/SQRT(SUMSQ(E$2:E$301)))*$BE$4)</f>
        <v/>
      </c>
      <c r="AA53">
        <f>IF(Datos!A53="","",IF(SUMSQ(F$2:F$301)=0,0,F53/SQRT(SUMSQ(F$2:F$301)))*$BE$5)</f>
        <v/>
      </c>
      <c r="AB53">
        <f>IF(Datos!A53="","",IF(SUMSQ(G$2:G$301)=0,0,G53/SQRT(SUMSQ(G$2:G$301)))*$BE$6)</f>
        <v/>
      </c>
      <c r="AC53">
        <f>IF(Datos!A53="","",IF(SUMSQ(H$2:H$301)=0,0,H53/SQRT(SUMSQ(H$2:H$301)))*$BE$7)</f>
        <v/>
      </c>
      <c r="AE53">
        <f>IF(Datos!A53="","",SQRT(SUMXMY2(X53:AC53,$X$303:$AC$303)))</f>
        <v/>
      </c>
      <c r="AF53">
        <f>IF(Datos!A53="","",SQRT(SUMXMY2(X53:AC53,$X$304:$AC$304)))</f>
        <v/>
      </c>
      <c r="AG53" s="11">
        <f>IF(Datos!A53="","",IF(AE53+AF53&lt;0.000000001,0.5,AF53/(AE53+AF53)))</f>
        <v/>
      </c>
      <c r="AH53">
        <f>IF(Datos!A53="","",AG53*MAX(C53*D53,1))</f>
        <v/>
      </c>
      <c r="AI53">
        <f>IF(Datos!A53="","",SUMIF($AH$2:$AH$301,"&gt;="&amp;AH53,$AH$2:$AH$301)/SUM($AH$2:$AH$301))</f>
        <v/>
      </c>
      <c r="AJ53" s="12">
        <f>IF(Datos!A53="","",IF(AI53&lt;=Parametros!$B$13,"A",IF(AI53&lt;=Parametros!$B$14,"B","C")))</f>
        <v/>
      </c>
      <c r="AK53" s="13">
        <f>IF(Datos!A53="","",VLOOKUP(AJ53,Parametros!$A$8:$C$10,2,FALSE))</f>
        <v/>
      </c>
      <c r="AL53">
        <f>IF(Datos!A53="","",VLOOKUP(AJ53,Parametros!$A$8:$C$10,3,FALSE))</f>
        <v/>
      </c>
      <c r="AM53">
        <f>IF(Datos!A53="","",NORMSINV(AK53))</f>
        <v/>
      </c>
      <c r="AN53">
        <f>IF(Datos!A53="","",D53/Parametros!$B$4)</f>
        <v/>
      </c>
      <c r="AO53">
        <f>IF(Datos!A53="","",MAX(0,ROUNDUP(AM53*(AN53*Parametros!$B$3)*SQRT((AL53+E53)),0)))</f>
        <v/>
      </c>
      <c r="AP53">
        <f>IF(Datos!A53="","",MAX(1,ROUNDUP(AN53*(AL53+E53)+AM53*(AN53*Parametros!$B$3)*SQRT((AL53+E53)),0)))</f>
        <v/>
      </c>
      <c r="AQ53">
        <f>IF(Datos!A53="","",IF(Datos!J53="","",Datos!J53))</f>
        <v/>
      </c>
      <c r="AR53">
        <f>IF(OR(Datos!A53="",AQ53=""),"",MAX(0,AQ53-AP53))</f>
        <v/>
      </c>
      <c r="AS53" s="10">
        <f>IF(OR(Datos!A53="",AQ53=""),"",AR53*C53)</f>
        <v/>
      </c>
      <c r="AT53" s="12">
        <f>IF(OR(Datos!A53="",AQ53=""),"",IF(AQ53&lt;AO53,"SI",""))</f>
        <v/>
      </c>
      <c r="AU53">
        <f>IF(Datos!A53="","",IF(AT53="SI","Reponer ahora",IF(AND(AQ53&lt;&gt;"",AR53&gt;0),"Bajar "&amp;TEXT(AR53,"#,##0")&amp;" un.","En rango")))</f>
        <v/>
      </c>
    </row>
    <row r="54">
      <c r="A54">
        <f>IF(Datos!A54="","",Datos!A54)</f>
        <v/>
      </c>
      <c r="B54">
        <f>IF(Datos!A54="","",Datos!B54)</f>
        <v/>
      </c>
      <c r="C54">
        <f>IF(Datos!A54="","",IFERROR(MAX(0,N(Datos!D54)),0))</f>
        <v/>
      </c>
      <c r="D54">
        <f>IF(Datos!A54="","",IFERROR(MAX(0,N(Datos!E54)),0))</f>
        <v/>
      </c>
      <c r="E54">
        <f>IF(Datos!A54="","",IFERROR(MAX(0,N(Datos!F54)),0))</f>
        <v/>
      </c>
      <c r="F54">
        <f>IF(Datos!A54="","",IFERROR(MAX(0,N(Datos!G54)),0))</f>
        <v/>
      </c>
      <c r="G54">
        <f>IF(Datos!A54="","",IFERROR(MAX(0,N(Datos!H54)),0))</f>
        <v/>
      </c>
      <c r="H54">
        <f>IF(Datos!A54="","",IFERROR(MAX(0,N(Datos!I54)),0))</f>
        <v/>
      </c>
      <c r="J54">
        <f>IF(Datos!A54="","",IF(MAX(C$2:C$301)-MIN(C$2:C$301)&lt;0.000000001,0.5,(C54-MIN(C$2:C$301))/(MAX(C$2:C$301)-MIN(C$2:C$301)))+0.000000001)</f>
        <v/>
      </c>
      <c r="K54">
        <f>IF(Datos!A54="","",IF(MAX(D$2:D$301)-MIN(D$2:D$301)&lt;0.000000001,0.5,(D54-MIN(D$2:D$301))/(MAX(D$2:D$301)-MIN(D$2:D$301)))+0.000000001)</f>
        <v/>
      </c>
      <c r="L54">
        <f>IF(Datos!A54="","",IF(MAX(E$2:E$301)-MIN(E$2:E$301)&lt;0.000000001,0.5,(E54-MIN(E$2:E$301))/(MAX(E$2:E$301)-MIN(E$2:E$301)))+0.000000001)</f>
        <v/>
      </c>
      <c r="M54">
        <f>IF(Datos!A54="","",IF(MAX(F$2:F$301)-MIN(F$2:F$301)&lt;0.000000001,0.5,(F54-MIN(F$2:F$301))/(MAX(F$2:F$301)-MIN(F$2:F$301)))+0.000000001)</f>
        <v/>
      </c>
      <c r="N54">
        <f>IF(Datos!A54="","",IF(MAX(G$2:G$301)-MIN(G$2:G$301)&lt;0.000000001,0.5,(G54-MIN(G$2:G$301))/(MAX(G$2:G$301)-MIN(G$2:G$301)))+0.000000001)</f>
        <v/>
      </c>
      <c r="O54">
        <f>IF(Datos!A54="","",IF(MAX(H$2:H$301)-MIN(H$2:H$301)&lt;0.000000001,0.5,(H54-MIN(H$2:H$301))/(MAX(H$2:H$301)-MIN(H$2:H$301)))+0.000000001)</f>
        <v/>
      </c>
      <c r="Q54">
        <f>IF(Datos!A54="","",(J54/SUM(J$2:J$301))*LN(J54/SUM(J$2:J$301)))</f>
        <v/>
      </c>
      <c r="R54">
        <f>IF(Datos!A54="","",(K54/SUM(K$2:K$301))*LN(K54/SUM(K$2:K$301)))</f>
        <v/>
      </c>
      <c r="S54">
        <f>IF(Datos!A54="","",(L54/SUM(L$2:L$301))*LN(L54/SUM(L$2:L$301)))</f>
        <v/>
      </c>
      <c r="T54">
        <f>IF(Datos!A54="","",(M54/SUM(M$2:M$301))*LN(M54/SUM(M$2:M$301)))</f>
        <v/>
      </c>
      <c r="U54">
        <f>IF(Datos!A54="","",(N54/SUM(N$2:N$301))*LN(N54/SUM(N$2:N$301)))</f>
        <v/>
      </c>
      <c r="V54">
        <f>IF(Datos!A54="","",(O54/SUM(O$2:O$301))*LN(O54/SUM(O$2:O$301)))</f>
        <v/>
      </c>
      <c r="X54">
        <f>IF(Datos!A54="","",IF(SUMSQ(C$2:C$301)=0,0,C54/SQRT(SUMSQ(C$2:C$301)))*$BE$2)</f>
        <v/>
      </c>
      <c r="Y54">
        <f>IF(Datos!A54="","",IF(SUMSQ(D$2:D$301)=0,0,D54/SQRT(SUMSQ(D$2:D$301)))*$BE$3)</f>
        <v/>
      </c>
      <c r="Z54">
        <f>IF(Datos!A54="","",IF(SUMSQ(E$2:E$301)=0,0,E54/SQRT(SUMSQ(E$2:E$301)))*$BE$4)</f>
        <v/>
      </c>
      <c r="AA54">
        <f>IF(Datos!A54="","",IF(SUMSQ(F$2:F$301)=0,0,F54/SQRT(SUMSQ(F$2:F$301)))*$BE$5)</f>
        <v/>
      </c>
      <c r="AB54">
        <f>IF(Datos!A54="","",IF(SUMSQ(G$2:G$301)=0,0,G54/SQRT(SUMSQ(G$2:G$301)))*$BE$6)</f>
        <v/>
      </c>
      <c r="AC54">
        <f>IF(Datos!A54="","",IF(SUMSQ(H$2:H$301)=0,0,H54/SQRT(SUMSQ(H$2:H$301)))*$BE$7)</f>
        <v/>
      </c>
      <c r="AE54">
        <f>IF(Datos!A54="","",SQRT(SUMXMY2(X54:AC54,$X$303:$AC$303)))</f>
        <v/>
      </c>
      <c r="AF54">
        <f>IF(Datos!A54="","",SQRT(SUMXMY2(X54:AC54,$X$304:$AC$304)))</f>
        <v/>
      </c>
      <c r="AG54" s="11">
        <f>IF(Datos!A54="","",IF(AE54+AF54&lt;0.000000001,0.5,AF54/(AE54+AF54)))</f>
        <v/>
      </c>
      <c r="AH54">
        <f>IF(Datos!A54="","",AG54*MAX(C54*D54,1))</f>
        <v/>
      </c>
      <c r="AI54">
        <f>IF(Datos!A54="","",SUMIF($AH$2:$AH$301,"&gt;="&amp;AH54,$AH$2:$AH$301)/SUM($AH$2:$AH$301))</f>
        <v/>
      </c>
      <c r="AJ54" s="12">
        <f>IF(Datos!A54="","",IF(AI54&lt;=Parametros!$B$13,"A",IF(AI54&lt;=Parametros!$B$14,"B","C")))</f>
        <v/>
      </c>
      <c r="AK54" s="13">
        <f>IF(Datos!A54="","",VLOOKUP(AJ54,Parametros!$A$8:$C$10,2,FALSE))</f>
        <v/>
      </c>
      <c r="AL54">
        <f>IF(Datos!A54="","",VLOOKUP(AJ54,Parametros!$A$8:$C$10,3,FALSE))</f>
        <v/>
      </c>
      <c r="AM54">
        <f>IF(Datos!A54="","",NORMSINV(AK54))</f>
        <v/>
      </c>
      <c r="AN54">
        <f>IF(Datos!A54="","",D54/Parametros!$B$4)</f>
        <v/>
      </c>
      <c r="AO54">
        <f>IF(Datos!A54="","",MAX(0,ROUNDUP(AM54*(AN54*Parametros!$B$3)*SQRT((AL54+E54)),0)))</f>
        <v/>
      </c>
      <c r="AP54">
        <f>IF(Datos!A54="","",MAX(1,ROUNDUP(AN54*(AL54+E54)+AM54*(AN54*Parametros!$B$3)*SQRT((AL54+E54)),0)))</f>
        <v/>
      </c>
      <c r="AQ54">
        <f>IF(Datos!A54="","",IF(Datos!J54="","",Datos!J54))</f>
        <v/>
      </c>
      <c r="AR54">
        <f>IF(OR(Datos!A54="",AQ54=""),"",MAX(0,AQ54-AP54))</f>
        <v/>
      </c>
      <c r="AS54" s="10">
        <f>IF(OR(Datos!A54="",AQ54=""),"",AR54*C54)</f>
        <v/>
      </c>
      <c r="AT54" s="12">
        <f>IF(OR(Datos!A54="",AQ54=""),"",IF(AQ54&lt;AO54,"SI",""))</f>
        <v/>
      </c>
      <c r="AU54">
        <f>IF(Datos!A54="","",IF(AT54="SI","Reponer ahora",IF(AND(AQ54&lt;&gt;"",AR54&gt;0),"Bajar "&amp;TEXT(AR54,"#,##0")&amp;" un.","En rango")))</f>
        <v/>
      </c>
    </row>
    <row r="55">
      <c r="A55">
        <f>IF(Datos!A55="","",Datos!A55)</f>
        <v/>
      </c>
      <c r="B55">
        <f>IF(Datos!A55="","",Datos!B55)</f>
        <v/>
      </c>
      <c r="C55">
        <f>IF(Datos!A55="","",IFERROR(MAX(0,N(Datos!D55)),0))</f>
        <v/>
      </c>
      <c r="D55">
        <f>IF(Datos!A55="","",IFERROR(MAX(0,N(Datos!E55)),0))</f>
        <v/>
      </c>
      <c r="E55">
        <f>IF(Datos!A55="","",IFERROR(MAX(0,N(Datos!F55)),0))</f>
        <v/>
      </c>
      <c r="F55">
        <f>IF(Datos!A55="","",IFERROR(MAX(0,N(Datos!G55)),0))</f>
        <v/>
      </c>
      <c r="G55">
        <f>IF(Datos!A55="","",IFERROR(MAX(0,N(Datos!H55)),0))</f>
        <v/>
      </c>
      <c r="H55">
        <f>IF(Datos!A55="","",IFERROR(MAX(0,N(Datos!I55)),0))</f>
        <v/>
      </c>
      <c r="J55">
        <f>IF(Datos!A55="","",IF(MAX(C$2:C$301)-MIN(C$2:C$301)&lt;0.000000001,0.5,(C55-MIN(C$2:C$301))/(MAX(C$2:C$301)-MIN(C$2:C$301)))+0.000000001)</f>
        <v/>
      </c>
      <c r="K55">
        <f>IF(Datos!A55="","",IF(MAX(D$2:D$301)-MIN(D$2:D$301)&lt;0.000000001,0.5,(D55-MIN(D$2:D$301))/(MAX(D$2:D$301)-MIN(D$2:D$301)))+0.000000001)</f>
        <v/>
      </c>
      <c r="L55">
        <f>IF(Datos!A55="","",IF(MAX(E$2:E$301)-MIN(E$2:E$301)&lt;0.000000001,0.5,(E55-MIN(E$2:E$301))/(MAX(E$2:E$301)-MIN(E$2:E$301)))+0.000000001)</f>
        <v/>
      </c>
      <c r="M55">
        <f>IF(Datos!A55="","",IF(MAX(F$2:F$301)-MIN(F$2:F$301)&lt;0.000000001,0.5,(F55-MIN(F$2:F$301))/(MAX(F$2:F$301)-MIN(F$2:F$301)))+0.000000001)</f>
        <v/>
      </c>
      <c r="N55">
        <f>IF(Datos!A55="","",IF(MAX(G$2:G$301)-MIN(G$2:G$301)&lt;0.000000001,0.5,(G55-MIN(G$2:G$301))/(MAX(G$2:G$301)-MIN(G$2:G$301)))+0.000000001)</f>
        <v/>
      </c>
      <c r="O55">
        <f>IF(Datos!A55="","",IF(MAX(H$2:H$301)-MIN(H$2:H$301)&lt;0.000000001,0.5,(H55-MIN(H$2:H$301))/(MAX(H$2:H$301)-MIN(H$2:H$301)))+0.000000001)</f>
        <v/>
      </c>
      <c r="Q55">
        <f>IF(Datos!A55="","",(J55/SUM(J$2:J$301))*LN(J55/SUM(J$2:J$301)))</f>
        <v/>
      </c>
      <c r="R55">
        <f>IF(Datos!A55="","",(K55/SUM(K$2:K$301))*LN(K55/SUM(K$2:K$301)))</f>
        <v/>
      </c>
      <c r="S55">
        <f>IF(Datos!A55="","",(L55/SUM(L$2:L$301))*LN(L55/SUM(L$2:L$301)))</f>
        <v/>
      </c>
      <c r="T55">
        <f>IF(Datos!A55="","",(M55/SUM(M$2:M$301))*LN(M55/SUM(M$2:M$301)))</f>
        <v/>
      </c>
      <c r="U55">
        <f>IF(Datos!A55="","",(N55/SUM(N$2:N$301))*LN(N55/SUM(N$2:N$301)))</f>
        <v/>
      </c>
      <c r="V55">
        <f>IF(Datos!A55="","",(O55/SUM(O$2:O$301))*LN(O55/SUM(O$2:O$301)))</f>
        <v/>
      </c>
      <c r="X55">
        <f>IF(Datos!A55="","",IF(SUMSQ(C$2:C$301)=0,0,C55/SQRT(SUMSQ(C$2:C$301)))*$BE$2)</f>
        <v/>
      </c>
      <c r="Y55">
        <f>IF(Datos!A55="","",IF(SUMSQ(D$2:D$301)=0,0,D55/SQRT(SUMSQ(D$2:D$301)))*$BE$3)</f>
        <v/>
      </c>
      <c r="Z55">
        <f>IF(Datos!A55="","",IF(SUMSQ(E$2:E$301)=0,0,E55/SQRT(SUMSQ(E$2:E$301)))*$BE$4)</f>
        <v/>
      </c>
      <c r="AA55">
        <f>IF(Datos!A55="","",IF(SUMSQ(F$2:F$301)=0,0,F55/SQRT(SUMSQ(F$2:F$301)))*$BE$5)</f>
        <v/>
      </c>
      <c r="AB55">
        <f>IF(Datos!A55="","",IF(SUMSQ(G$2:G$301)=0,0,G55/SQRT(SUMSQ(G$2:G$301)))*$BE$6)</f>
        <v/>
      </c>
      <c r="AC55">
        <f>IF(Datos!A55="","",IF(SUMSQ(H$2:H$301)=0,0,H55/SQRT(SUMSQ(H$2:H$301)))*$BE$7)</f>
        <v/>
      </c>
      <c r="AE55">
        <f>IF(Datos!A55="","",SQRT(SUMXMY2(X55:AC55,$X$303:$AC$303)))</f>
        <v/>
      </c>
      <c r="AF55">
        <f>IF(Datos!A55="","",SQRT(SUMXMY2(X55:AC55,$X$304:$AC$304)))</f>
        <v/>
      </c>
      <c r="AG55" s="11">
        <f>IF(Datos!A55="","",IF(AE55+AF55&lt;0.000000001,0.5,AF55/(AE55+AF55)))</f>
        <v/>
      </c>
      <c r="AH55">
        <f>IF(Datos!A55="","",AG55*MAX(C55*D55,1))</f>
        <v/>
      </c>
      <c r="AI55">
        <f>IF(Datos!A55="","",SUMIF($AH$2:$AH$301,"&gt;="&amp;AH55,$AH$2:$AH$301)/SUM($AH$2:$AH$301))</f>
        <v/>
      </c>
      <c r="AJ55" s="12">
        <f>IF(Datos!A55="","",IF(AI55&lt;=Parametros!$B$13,"A",IF(AI55&lt;=Parametros!$B$14,"B","C")))</f>
        <v/>
      </c>
      <c r="AK55" s="13">
        <f>IF(Datos!A55="","",VLOOKUP(AJ55,Parametros!$A$8:$C$10,2,FALSE))</f>
        <v/>
      </c>
      <c r="AL55">
        <f>IF(Datos!A55="","",VLOOKUP(AJ55,Parametros!$A$8:$C$10,3,FALSE))</f>
        <v/>
      </c>
      <c r="AM55">
        <f>IF(Datos!A55="","",NORMSINV(AK55))</f>
        <v/>
      </c>
      <c r="AN55">
        <f>IF(Datos!A55="","",D55/Parametros!$B$4)</f>
        <v/>
      </c>
      <c r="AO55">
        <f>IF(Datos!A55="","",MAX(0,ROUNDUP(AM55*(AN55*Parametros!$B$3)*SQRT((AL55+E55)),0)))</f>
        <v/>
      </c>
      <c r="AP55">
        <f>IF(Datos!A55="","",MAX(1,ROUNDUP(AN55*(AL55+E55)+AM55*(AN55*Parametros!$B$3)*SQRT((AL55+E55)),0)))</f>
        <v/>
      </c>
      <c r="AQ55">
        <f>IF(Datos!A55="","",IF(Datos!J55="","",Datos!J55))</f>
        <v/>
      </c>
      <c r="AR55">
        <f>IF(OR(Datos!A55="",AQ55=""),"",MAX(0,AQ55-AP55))</f>
        <v/>
      </c>
      <c r="AS55" s="10">
        <f>IF(OR(Datos!A55="",AQ55=""),"",AR55*C55)</f>
        <v/>
      </c>
      <c r="AT55" s="12">
        <f>IF(OR(Datos!A55="",AQ55=""),"",IF(AQ55&lt;AO55,"SI",""))</f>
        <v/>
      </c>
      <c r="AU55">
        <f>IF(Datos!A55="","",IF(AT55="SI","Reponer ahora",IF(AND(AQ55&lt;&gt;"",AR55&gt;0),"Bajar "&amp;TEXT(AR55,"#,##0")&amp;" un.","En rango")))</f>
        <v/>
      </c>
    </row>
    <row r="56">
      <c r="A56">
        <f>IF(Datos!A56="","",Datos!A56)</f>
        <v/>
      </c>
      <c r="B56">
        <f>IF(Datos!A56="","",Datos!B56)</f>
        <v/>
      </c>
      <c r="C56">
        <f>IF(Datos!A56="","",IFERROR(MAX(0,N(Datos!D56)),0))</f>
        <v/>
      </c>
      <c r="D56">
        <f>IF(Datos!A56="","",IFERROR(MAX(0,N(Datos!E56)),0))</f>
        <v/>
      </c>
      <c r="E56">
        <f>IF(Datos!A56="","",IFERROR(MAX(0,N(Datos!F56)),0))</f>
        <v/>
      </c>
      <c r="F56">
        <f>IF(Datos!A56="","",IFERROR(MAX(0,N(Datos!G56)),0))</f>
        <v/>
      </c>
      <c r="G56">
        <f>IF(Datos!A56="","",IFERROR(MAX(0,N(Datos!H56)),0))</f>
        <v/>
      </c>
      <c r="H56">
        <f>IF(Datos!A56="","",IFERROR(MAX(0,N(Datos!I56)),0))</f>
        <v/>
      </c>
      <c r="J56">
        <f>IF(Datos!A56="","",IF(MAX(C$2:C$301)-MIN(C$2:C$301)&lt;0.000000001,0.5,(C56-MIN(C$2:C$301))/(MAX(C$2:C$301)-MIN(C$2:C$301)))+0.000000001)</f>
        <v/>
      </c>
      <c r="K56">
        <f>IF(Datos!A56="","",IF(MAX(D$2:D$301)-MIN(D$2:D$301)&lt;0.000000001,0.5,(D56-MIN(D$2:D$301))/(MAX(D$2:D$301)-MIN(D$2:D$301)))+0.000000001)</f>
        <v/>
      </c>
      <c r="L56">
        <f>IF(Datos!A56="","",IF(MAX(E$2:E$301)-MIN(E$2:E$301)&lt;0.000000001,0.5,(E56-MIN(E$2:E$301))/(MAX(E$2:E$301)-MIN(E$2:E$301)))+0.000000001)</f>
        <v/>
      </c>
      <c r="M56">
        <f>IF(Datos!A56="","",IF(MAX(F$2:F$301)-MIN(F$2:F$301)&lt;0.000000001,0.5,(F56-MIN(F$2:F$301))/(MAX(F$2:F$301)-MIN(F$2:F$301)))+0.000000001)</f>
        <v/>
      </c>
      <c r="N56">
        <f>IF(Datos!A56="","",IF(MAX(G$2:G$301)-MIN(G$2:G$301)&lt;0.000000001,0.5,(G56-MIN(G$2:G$301))/(MAX(G$2:G$301)-MIN(G$2:G$301)))+0.000000001)</f>
        <v/>
      </c>
      <c r="O56">
        <f>IF(Datos!A56="","",IF(MAX(H$2:H$301)-MIN(H$2:H$301)&lt;0.000000001,0.5,(H56-MIN(H$2:H$301))/(MAX(H$2:H$301)-MIN(H$2:H$301)))+0.000000001)</f>
        <v/>
      </c>
      <c r="Q56">
        <f>IF(Datos!A56="","",(J56/SUM(J$2:J$301))*LN(J56/SUM(J$2:J$301)))</f>
        <v/>
      </c>
      <c r="R56">
        <f>IF(Datos!A56="","",(K56/SUM(K$2:K$301))*LN(K56/SUM(K$2:K$301)))</f>
        <v/>
      </c>
      <c r="S56">
        <f>IF(Datos!A56="","",(L56/SUM(L$2:L$301))*LN(L56/SUM(L$2:L$301)))</f>
        <v/>
      </c>
      <c r="T56">
        <f>IF(Datos!A56="","",(M56/SUM(M$2:M$301))*LN(M56/SUM(M$2:M$301)))</f>
        <v/>
      </c>
      <c r="U56">
        <f>IF(Datos!A56="","",(N56/SUM(N$2:N$301))*LN(N56/SUM(N$2:N$301)))</f>
        <v/>
      </c>
      <c r="V56">
        <f>IF(Datos!A56="","",(O56/SUM(O$2:O$301))*LN(O56/SUM(O$2:O$301)))</f>
        <v/>
      </c>
      <c r="X56">
        <f>IF(Datos!A56="","",IF(SUMSQ(C$2:C$301)=0,0,C56/SQRT(SUMSQ(C$2:C$301)))*$BE$2)</f>
        <v/>
      </c>
      <c r="Y56">
        <f>IF(Datos!A56="","",IF(SUMSQ(D$2:D$301)=0,0,D56/SQRT(SUMSQ(D$2:D$301)))*$BE$3)</f>
        <v/>
      </c>
      <c r="Z56">
        <f>IF(Datos!A56="","",IF(SUMSQ(E$2:E$301)=0,0,E56/SQRT(SUMSQ(E$2:E$301)))*$BE$4)</f>
        <v/>
      </c>
      <c r="AA56">
        <f>IF(Datos!A56="","",IF(SUMSQ(F$2:F$301)=0,0,F56/SQRT(SUMSQ(F$2:F$301)))*$BE$5)</f>
        <v/>
      </c>
      <c r="AB56">
        <f>IF(Datos!A56="","",IF(SUMSQ(G$2:G$301)=0,0,G56/SQRT(SUMSQ(G$2:G$301)))*$BE$6)</f>
        <v/>
      </c>
      <c r="AC56">
        <f>IF(Datos!A56="","",IF(SUMSQ(H$2:H$301)=0,0,H56/SQRT(SUMSQ(H$2:H$301)))*$BE$7)</f>
        <v/>
      </c>
      <c r="AE56">
        <f>IF(Datos!A56="","",SQRT(SUMXMY2(X56:AC56,$X$303:$AC$303)))</f>
        <v/>
      </c>
      <c r="AF56">
        <f>IF(Datos!A56="","",SQRT(SUMXMY2(X56:AC56,$X$304:$AC$304)))</f>
        <v/>
      </c>
      <c r="AG56" s="11">
        <f>IF(Datos!A56="","",IF(AE56+AF56&lt;0.000000001,0.5,AF56/(AE56+AF56)))</f>
        <v/>
      </c>
      <c r="AH56">
        <f>IF(Datos!A56="","",AG56*MAX(C56*D56,1))</f>
        <v/>
      </c>
      <c r="AI56">
        <f>IF(Datos!A56="","",SUMIF($AH$2:$AH$301,"&gt;="&amp;AH56,$AH$2:$AH$301)/SUM($AH$2:$AH$301))</f>
        <v/>
      </c>
      <c r="AJ56" s="12">
        <f>IF(Datos!A56="","",IF(AI56&lt;=Parametros!$B$13,"A",IF(AI56&lt;=Parametros!$B$14,"B","C")))</f>
        <v/>
      </c>
      <c r="AK56" s="13">
        <f>IF(Datos!A56="","",VLOOKUP(AJ56,Parametros!$A$8:$C$10,2,FALSE))</f>
        <v/>
      </c>
      <c r="AL56">
        <f>IF(Datos!A56="","",VLOOKUP(AJ56,Parametros!$A$8:$C$10,3,FALSE))</f>
        <v/>
      </c>
      <c r="AM56">
        <f>IF(Datos!A56="","",NORMSINV(AK56))</f>
        <v/>
      </c>
      <c r="AN56">
        <f>IF(Datos!A56="","",D56/Parametros!$B$4)</f>
        <v/>
      </c>
      <c r="AO56">
        <f>IF(Datos!A56="","",MAX(0,ROUNDUP(AM56*(AN56*Parametros!$B$3)*SQRT((AL56+E56)),0)))</f>
        <v/>
      </c>
      <c r="AP56">
        <f>IF(Datos!A56="","",MAX(1,ROUNDUP(AN56*(AL56+E56)+AM56*(AN56*Parametros!$B$3)*SQRT((AL56+E56)),0)))</f>
        <v/>
      </c>
      <c r="AQ56">
        <f>IF(Datos!A56="","",IF(Datos!J56="","",Datos!J56))</f>
        <v/>
      </c>
      <c r="AR56">
        <f>IF(OR(Datos!A56="",AQ56=""),"",MAX(0,AQ56-AP56))</f>
        <v/>
      </c>
      <c r="AS56" s="10">
        <f>IF(OR(Datos!A56="",AQ56=""),"",AR56*C56)</f>
        <v/>
      </c>
      <c r="AT56" s="12">
        <f>IF(OR(Datos!A56="",AQ56=""),"",IF(AQ56&lt;AO56,"SI",""))</f>
        <v/>
      </c>
      <c r="AU56">
        <f>IF(Datos!A56="","",IF(AT56="SI","Reponer ahora",IF(AND(AQ56&lt;&gt;"",AR56&gt;0),"Bajar "&amp;TEXT(AR56,"#,##0")&amp;" un.","En rango")))</f>
        <v/>
      </c>
    </row>
    <row r="57">
      <c r="A57">
        <f>IF(Datos!A57="","",Datos!A57)</f>
        <v/>
      </c>
      <c r="B57">
        <f>IF(Datos!A57="","",Datos!B57)</f>
        <v/>
      </c>
      <c r="C57">
        <f>IF(Datos!A57="","",IFERROR(MAX(0,N(Datos!D57)),0))</f>
        <v/>
      </c>
      <c r="D57">
        <f>IF(Datos!A57="","",IFERROR(MAX(0,N(Datos!E57)),0))</f>
        <v/>
      </c>
      <c r="E57">
        <f>IF(Datos!A57="","",IFERROR(MAX(0,N(Datos!F57)),0))</f>
        <v/>
      </c>
      <c r="F57">
        <f>IF(Datos!A57="","",IFERROR(MAX(0,N(Datos!G57)),0))</f>
        <v/>
      </c>
      <c r="G57">
        <f>IF(Datos!A57="","",IFERROR(MAX(0,N(Datos!H57)),0))</f>
        <v/>
      </c>
      <c r="H57">
        <f>IF(Datos!A57="","",IFERROR(MAX(0,N(Datos!I57)),0))</f>
        <v/>
      </c>
      <c r="J57">
        <f>IF(Datos!A57="","",IF(MAX(C$2:C$301)-MIN(C$2:C$301)&lt;0.000000001,0.5,(C57-MIN(C$2:C$301))/(MAX(C$2:C$301)-MIN(C$2:C$301)))+0.000000001)</f>
        <v/>
      </c>
      <c r="K57">
        <f>IF(Datos!A57="","",IF(MAX(D$2:D$301)-MIN(D$2:D$301)&lt;0.000000001,0.5,(D57-MIN(D$2:D$301))/(MAX(D$2:D$301)-MIN(D$2:D$301)))+0.000000001)</f>
        <v/>
      </c>
      <c r="L57">
        <f>IF(Datos!A57="","",IF(MAX(E$2:E$301)-MIN(E$2:E$301)&lt;0.000000001,0.5,(E57-MIN(E$2:E$301))/(MAX(E$2:E$301)-MIN(E$2:E$301)))+0.000000001)</f>
        <v/>
      </c>
      <c r="M57">
        <f>IF(Datos!A57="","",IF(MAX(F$2:F$301)-MIN(F$2:F$301)&lt;0.000000001,0.5,(F57-MIN(F$2:F$301))/(MAX(F$2:F$301)-MIN(F$2:F$301)))+0.000000001)</f>
        <v/>
      </c>
      <c r="N57">
        <f>IF(Datos!A57="","",IF(MAX(G$2:G$301)-MIN(G$2:G$301)&lt;0.000000001,0.5,(G57-MIN(G$2:G$301))/(MAX(G$2:G$301)-MIN(G$2:G$301)))+0.000000001)</f>
        <v/>
      </c>
      <c r="O57">
        <f>IF(Datos!A57="","",IF(MAX(H$2:H$301)-MIN(H$2:H$301)&lt;0.000000001,0.5,(H57-MIN(H$2:H$301))/(MAX(H$2:H$301)-MIN(H$2:H$301)))+0.000000001)</f>
        <v/>
      </c>
      <c r="Q57">
        <f>IF(Datos!A57="","",(J57/SUM(J$2:J$301))*LN(J57/SUM(J$2:J$301)))</f>
        <v/>
      </c>
      <c r="R57">
        <f>IF(Datos!A57="","",(K57/SUM(K$2:K$301))*LN(K57/SUM(K$2:K$301)))</f>
        <v/>
      </c>
      <c r="S57">
        <f>IF(Datos!A57="","",(L57/SUM(L$2:L$301))*LN(L57/SUM(L$2:L$301)))</f>
        <v/>
      </c>
      <c r="T57">
        <f>IF(Datos!A57="","",(M57/SUM(M$2:M$301))*LN(M57/SUM(M$2:M$301)))</f>
        <v/>
      </c>
      <c r="U57">
        <f>IF(Datos!A57="","",(N57/SUM(N$2:N$301))*LN(N57/SUM(N$2:N$301)))</f>
        <v/>
      </c>
      <c r="V57">
        <f>IF(Datos!A57="","",(O57/SUM(O$2:O$301))*LN(O57/SUM(O$2:O$301)))</f>
        <v/>
      </c>
      <c r="X57">
        <f>IF(Datos!A57="","",IF(SUMSQ(C$2:C$301)=0,0,C57/SQRT(SUMSQ(C$2:C$301)))*$BE$2)</f>
        <v/>
      </c>
      <c r="Y57">
        <f>IF(Datos!A57="","",IF(SUMSQ(D$2:D$301)=0,0,D57/SQRT(SUMSQ(D$2:D$301)))*$BE$3)</f>
        <v/>
      </c>
      <c r="Z57">
        <f>IF(Datos!A57="","",IF(SUMSQ(E$2:E$301)=0,0,E57/SQRT(SUMSQ(E$2:E$301)))*$BE$4)</f>
        <v/>
      </c>
      <c r="AA57">
        <f>IF(Datos!A57="","",IF(SUMSQ(F$2:F$301)=0,0,F57/SQRT(SUMSQ(F$2:F$301)))*$BE$5)</f>
        <v/>
      </c>
      <c r="AB57">
        <f>IF(Datos!A57="","",IF(SUMSQ(G$2:G$301)=0,0,G57/SQRT(SUMSQ(G$2:G$301)))*$BE$6)</f>
        <v/>
      </c>
      <c r="AC57">
        <f>IF(Datos!A57="","",IF(SUMSQ(H$2:H$301)=0,0,H57/SQRT(SUMSQ(H$2:H$301)))*$BE$7)</f>
        <v/>
      </c>
      <c r="AE57">
        <f>IF(Datos!A57="","",SQRT(SUMXMY2(X57:AC57,$X$303:$AC$303)))</f>
        <v/>
      </c>
      <c r="AF57">
        <f>IF(Datos!A57="","",SQRT(SUMXMY2(X57:AC57,$X$304:$AC$304)))</f>
        <v/>
      </c>
      <c r="AG57" s="11">
        <f>IF(Datos!A57="","",IF(AE57+AF57&lt;0.000000001,0.5,AF57/(AE57+AF57)))</f>
        <v/>
      </c>
      <c r="AH57">
        <f>IF(Datos!A57="","",AG57*MAX(C57*D57,1))</f>
        <v/>
      </c>
      <c r="AI57">
        <f>IF(Datos!A57="","",SUMIF($AH$2:$AH$301,"&gt;="&amp;AH57,$AH$2:$AH$301)/SUM($AH$2:$AH$301))</f>
        <v/>
      </c>
      <c r="AJ57" s="12">
        <f>IF(Datos!A57="","",IF(AI57&lt;=Parametros!$B$13,"A",IF(AI57&lt;=Parametros!$B$14,"B","C")))</f>
        <v/>
      </c>
      <c r="AK57" s="13">
        <f>IF(Datos!A57="","",VLOOKUP(AJ57,Parametros!$A$8:$C$10,2,FALSE))</f>
        <v/>
      </c>
      <c r="AL57">
        <f>IF(Datos!A57="","",VLOOKUP(AJ57,Parametros!$A$8:$C$10,3,FALSE))</f>
        <v/>
      </c>
      <c r="AM57">
        <f>IF(Datos!A57="","",NORMSINV(AK57))</f>
        <v/>
      </c>
      <c r="AN57">
        <f>IF(Datos!A57="","",D57/Parametros!$B$4)</f>
        <v/>
      </c>
      <c r="AO57">
        <f>IF(Datos!A57="","",MAX(0,ROUNDUP(AM57*(AN57*Parametros!$B$3)*SQRT((AL57+E57)),0)))</f>
        <v/>
      </c>
      <c r="AP57">
        <f>IF(Datos!A57="","",MAX(1,ROUNDUP(AN57*(AL57+E57)+AM57*(AN57*Parametros!$B$3)*SQRT((AL57+E57)),0)))</f>
        <v/>
      </c>
      <c r="AQ57">
        <f>IF(Datos!A57="","",IF(Datos!J57="","",Datos!J57))</f>
        <v/>
      </c>
      <c r="AR57">
        <f>IF(OR(Datos!A57="",AQ57=""),"",MAX(0,AQ57-AP57))</f>
        <v/>
      </c>
      <c r="AS57" s="10">
        <f>IF(OR(Datos!A57="",AQ57=""),"",AR57*C57)</f>
        <v/>
      </c>
      <c r="AT57" s="12">
        <f>IF(OR(Datos!A57="",AQ57=""),"",IF(AQ57&lt;AO57,"SI",""))</f>
        <v/>
      </c>
      <c r="AU57">
        <f>IF(Datos!A57="","",IF(AT57="SI","Reponer ahora",IF(AND(AQ57&lt;&gt;"",AR57&gt;0),"Bajar "&amp;TEXT(AR57,"#,##0")&amp;" un.","En rango")))</f>
        <v/>
      </c>
    </row>
    <row r="58">
      <c r="A58">
        <f>IF(Datos!A58="","",Datos!A58)</f>
        <v/>
      </c>
      <c r="B58">
        <f>IF(Datos!A58="","",Datos!B58)</f>
        <v/>
      </c>
      <c r="C58">
        <f>IF(Datos!A58="","",IFERROR(MAX(0,N(Datos!D58)),0))</f>
        <v/>
      </c>
      <c r="D58">
        <f>IF(Datos!A58="","",IFERROR(MAX(0,N(Datos!E58)),0))</f>
        <v/>
      </c>
      <c r="E58">
        <f>IF(Datos!A58="","",IFERROR(MAX(0,N(Datos!F58)),0))</f>
        <v/>
      </c>
      <c r="F58">
        <f>IF(Datos!A58="","",IFERROR(MAX(0,N(Datos!G58)),0))</f>
        <v/>
      </c>
      <c r="G58">
        <f>IF(Datos!A58="","",IFERROR(MAX(0,N(Datos!H58)),0))</f>
        <v/>
      </c>
      <c r="H58">
        <f>IF(Datos!A58="","",IFERROR(MAX(0,N(Datos!I58)),0))</f>
        <v/>
      </c>
      <c r="J58">
        <f>IF(Datos!A58="","",IF(MAX(C$2:C$301)-MIN(C$2:C$301)&lt;0.000000001,0.5,(C58-MIN(C$2:C$301))/(MAX(C$2:C$301)-MIN(C$2:C$301)))+0.000000001)</f>
        <v/>
      </c>
      <c r="K58">
        <f>IF(Datos!A58="","",IF(MAX(D$2:D$301)-MIN(D$2:D$301)&lt;0.000000001,0.5,(D58-MIN(D$2:D$301))/(MAX(D$2:D$301)-MIN(D$2:D$301)))+0.000000001)</f>
        <v/>
      </c>
      <c r="L58">
        <f>IF(Datos!A58="","",IF(MAX(E$2:E$301)-MIN(E$2:E$301)&lt;0.000000001,0.5,(E58-MIN(E$2:E$301))/(MAX(E$2:E$301)-MIN(E$2:E$301)))+0.000000001)</f>
        <v/>
      </c>
      <c r="M58">
        <f>IF(Datos!A58="","",IF(MAX(F$2:F$301)-MIN(F$2:F$301)&lt;0.000000001,0.5,(F58-MIN(F$2:F$301))/(MAX(F$2:F$301)-MIN(F$2:F$301)))+0.000000001)</f>
        <v/>
      </c>
      <c r="N58">
        <f>IF(Datos!A58="","",IF(MAX(G$2:G$301)-MIN(G$2:G$301)&lt;0.000000001,0.5,(G58-MIN(G$2:G$301))/(MAX(G$2:G$301)-MIN(G$2:G$301)))+0.000000001)</f>
        <v/>
      </c>
      <c r="O58">
        <f>IF(Datos!A58="","",IF(MAX(H$2:H$301)-MIN(H$2:H$301)&lt;0.000000001,0.5,(H58-MIN(H$2:H$301))/(MAX(H$2:H$301)-MIN(H$2:H$301)))+0.000000001)</f>
        <v/>
      </c>
      <c r="Q58">
        <f>IF(Datos!A58="","",(J58/SUM(J$2:J$301))*LN(J58/SUM(J$2:J$301)))</f>
        <v/>
      </c>
      <c r="R58">
        <f>IF(Datos!A58="","",(K58/SUM(K$2:K$301))*LN(K58/SUM(K$2:K$301)))</f>
        <v/>
      </c>
      <c r="S58">
        <f>IF(Datos!A58="","",(L58/SUM(L$2:L$301))*LN(L58/SUM(L$2:L$301)))</f>
        <v/>
      </c>
      <c r="T58">
        <f>IF(Datos!A58="","",(M58/SUM(M$2:M$301))*LN(M58/SUM(M$2:M$301)))</f>
        <v/>
      </c>
      <c r="U58">
        <f>IF(Datos!A58="","",(N58/SUM(N$2:N$301))*LN(N58/SUM(N$2:N$301)))</f>
        <v/>
      </c>
      <c r="V58">
        <f>IF(Datos!A58="","",(O58/SUM(O$2:O$301))*LN(O58/SUM(O$2:O$301)))</f>
        <v/>
      </c>
      <c r="X58">
        <f>IF(Datos!A58="","",IF(SUMSQ(C$2:C$301)=0,0,C58/SQRT(SUMSQ(C$2:C$301)))*$BE$2)</f>
        <v/>
      </c>
      <c r="Y58">
        <f>IF(Datos!A58="","",IF(SUMSQ(D$2:D$301)=0,0,D58/SQRT(SUMSQ(D$2:D$301)))*$BE$3)</f>
        <v/>
      </c>
      <c r="Z58">
        <f>IF(Datos!A58="","",IF(SUMSQ(E$2:E$301)=0,0,E58/SQRT(SUMSQ(E$2:E$301)))*$BE$4)</f>
        <v/>
      </c>
      <c r="AA58">
        <f>IF(Datos!A58="","",IF(SUMSQ(F$2:F$301)=0,0,F58/SQRT(SUMSQ(F$2:F$301)))*$BE$5)</f>
        <v/>
      </c>
      <c r="AB58">
        <f>IF(Datos!A58="","",IF(SUMSQ(G$2:G$301)=0,0,G58/SQRT(SUMSQ(G$2:G$301)))*$BE$6)</f>
        <v/>
      </c>
      <c r="AC58">
        <f>IF(Datos!A58="","",IF(SUMSQ(H$2:H$301)=0,0,H58/SQRT(SUMSQ(H$2:H$301)))*$BE$7)</f>
        <v/>
      </c>
      <c r="AE58">
        <f>IF(Datos!A58="","",SQRT(SUMXMY2(X58:AC58,$X$303:$AC$303)))</f>
        <v/>
      </c>
      <c r="AF58">
        <f>IF(Datos!A58="","",SQRT(SUMXMY2(X58:AC58,$X$304:$AC$304)))</f>
        <v/>
      </c>
      <c r="AG58" s="11">
        <f>IF(Datos!A58="","",IF(AE58+AF58&lt;0.000000001,0.5,AF58/(AE58+AF58)))</f>
        <v/>
      </c>
      <c r="AH58">
        <f>IF(Datos!A58="","",AG58*MAX(C58*D58,1))</f>
        <v/>
      </c>
      <c r="AI58">
        <f>IF(Datos!A58="","",SUMIF($AH$2:$AH$301,"&gt;="&amp;AH58,$AH$2:$AH$301)/SUM($AH$2:$AH$301))</f>
        <v/>
      </c>
      <c r="AJ58" s="12">
        <f>IF(Datos!A58="","",IF(AI58&lt;=Parametros!$B$13,"A",IF(AI58&lt;=Parametros!$B$14,"B","C")))</f>
        <v/>
      </c>
      <c r="AK58" s="13">
        <f>IF(Datos!A58="","",VLOOKUP(AJ58,Parametros!$A$8:$C$10,2,FALSE))</f>
        <v/>
      </c>
      <c r="AL58">
        <f>IF(Datos!A58="","",VLOOKUP(AJ58,Parametros!$A$8:$C$10,3,FALSE))</f>
        <v/>
      </c>
      <c r="AM58">
        <f>IF(Datos!A58="","",NORMSINV(AK58))</f>
        <v/>
      </c>
      <c r="AN58">
        <f>IF(Datos!A58="","",D58/Parametros!$B$4)</f>
        <v/>
      </c>
      <c r="AO58">
        <f>IF(Datos!A58="","",MAX(0,ROUNDUP(AM58*(AN58*Parametros!$B$3)*SQRT((AL58+E58)),0)))</f>
        <v/>
      </c>
      <c r="AP58">
        <f>IF(Datos!A58="","",MAX(1,ROUNDUP(AN58*(AL58+E58)+AM58*(AN58*Parametros!$B$3)*SQRT((AL58+E58)),0)))</f>
        <v/>
      </c>
      <c r="AQ58">
        <f>IF(Datos!A58="","",IF(Datos!J58="","",Datos!J58))</f>
        <v/>
      </c>
      <c r="AR58">
        <f>IF(OR(Datos!A58="",AQ58=""),"",MAX(0,AQ58-AP58))</f>
        <v/>
      </c>
      <c r="AS58" s="10">
        <f>IF(OR(Datos!A58="",AQ58=""),"",AR58*C58)</f>
        <v/>
      </c>
      <c r="AT58" s="12">
        <f>IF(OR(Datos!A58="",AQ58=""),"",IF(AQ58&lt;AO58,"SI",""))</f>
        <v/>
      </c>
      <c r="AU58">
        <f>IF(Datos!A58="","",IF(AT58="SI","Reponer ahora",IF(AND(AQ58&lt;&gt;"",AR58&gt;0),"Bajar "&amp;TEXT(AR58,"#,##0")&amp;" un.","En rango")))</f>
        <v/>
      </c>
    </row>
    <row r="59">
      <c r="A59">
        <f>IF(Datos!A59="","",Datos!A59)</f>
        <v/>
      </c>
      <c r="B59">
        <f>IF(Datos!A59="","",Datos!B59)</f>
        <v/>
      </c>
      <c r="C59">
        <f>IF(Datos!A59="","",IFERROR(MAX(0,N(Datos!D59)),0))</f>
        <v/>
      </c>
      <c r="D59">
        <f>IF(Datos!A59="","",IFERROR(MAX(0,N(Datos!E59)),0))</f>
        <v/>
      </c>
      <c r="E59">
        <f>IF(Datos!A59="","",IFERROR(MAX(0,N(Datos!F59)),0))</f>
        <v/>
      </c>
      <c r="F59">
        <f>IF(Datos!A59="","",IFERROR(MAX(0,N(Datos!G59)),0))</f>
        <v/>
      </c>
      <c r="G59">
        <f>IF(Datos!A59="","",IFERROR(MAX(0,N(Datos!H59)),0))</f>
        <v/>
      </c>
      <c r="H59">
        <f>IF(Datos!A59="","",IFERROR(MAX(0,N(Datos!I59)),0))</f>
        <v/>
      </c>
      <c r="J59">
        <f>IF(Datos!A59="","",IF(MAX(C$2:C$301)-MIN(C$2:C$301)&lt;0.000000001,0.5,(C59-MIN(C$2:C$301))/(MAX(C$2:C$301)-MIN(C$2:C$301)))+0.000000001)</f>
        <v/>
      </c>
      <c r="K59">
        <f>IF(Datos!A59="","",IF(MAX(D$2:D$301)-MIN(D$2:D$301)&lt;0.000000001,0.5,(D59-MIN(D$2:D$301))/(MAX(D$2:D$301)-MIN(D$2:D$301)))+0.000000001)</f>
        <v/>
      </c>
      <c r="L59">
        <f>IF(Datos!A59="","",IF(MAX(E$2:E$301)-MIN(E$2:E$301)&lt;0.000000001,0.5,(E59-MIN(E$2:E$301))/(MAX(E$2:E$301)-MIN(E$2:E$301)))+0.000000001)</f>
        <v/>
      </c>
      <c r="M59">
        <f>IF(Datos!A59="","",IF(MAX(F$2:F$301)-MIN(F$2:F$301)&lt;0.000000001,0.5,(F59-MIN(F$2:F$301))/(MAX(F$2:F$301)-MIN(F$2:F$301)))+0.000000001)</f>
        <v/>
      </c>
      <c r="N59">
        <f>IF(Datos!A59="","",IF(MAX(G$2:G$301)-MIN(G$2:G$301)&lt;0.000000001,0.5,(G59-MIN(G$2:G$301))/(MAX(G$2:G$301)-MIN(G$2:G$301)))+0.000000001)</f>
        <v/>
      </c>
      <c r="O59">
        <f>IF(Datos!A59="","",IF(MAX(H$2:H$301)-MIN(H$2:H$301)&lt;0.000000001,0.5,(H59-MIN(H$2:H$301))/(MAX(H$2:H$301)-MIN(H$2:H$301)))+0.000000001)</f>
        <v/>
      </c>
      <c r="Q59">
        <f>IF(Datos!A59="","",(J59/SUM(J$2:J$301))*LN(J59/SUM(J$2:J$301)))</f>
        <v/>
      </c>
      <c r="R59">
        <f>IF(Datos!A59="","",(K59/SUM(K$2:K$301))*LN(K59/SUM(K$2:K$301)))</f>
        <v/>
      </c>
      <c r="S59">
        <f>IF(Datos!A59="","",(L59/SUM(L$2:L$301))*LN(L59/SUM(L$2:L$301)))</f>
        <v/>
      </c>
      <c r="T59">
        <f>IF(Datos!A59="","",(M59/SUM(M$2:M$301))*LN(M59/SUM(M$2:M$301)))</f>
        <v/>
      </c>
      <c r="U59">
        <f>IF(Datos!A59="","",(N59/SUM(N$2:N$301))*LN(N59/SUM(N$2:N$301)))</f>
        <v/>
      </c>
      <c r="V59">
        <f>IF(Datos!A59="","",(O59/SUM(O$2:O$301))*LN(O59/SUM(O$2:O$301)))</f>
        <v/>
      </c>
      <c r="X59">
        <f>IF(Datos!A59="","",IF(SUMSQ(C$2:C$301)=0,0,C59/SQRT(SUMSQ(C$2:C$301)))*$BE$2)</f>
        <v/>
      </c>
      <c r="Y59">
        <f>IF(Datos!A59="","",IF(SUMSQ(D$2:D$301)=0,0,D59/SQRT(SUMSQ(D$2:D$301)))*$BE$3)</f>
        <v/>
      </c>
      <c r="Z59">
        <f>IF(Datos!A59="","",IF(SUMSQ(E$2:E$301)=0,0,E59/SQRT(SUMSQ(E$2:E$301)))*$BE$4)</f>
        <v/>
      </c>
      <c r="AA59">
        <f>IF(Datos!A59="","",IF(SUMSQ(F$2:F$301)=0,0,F59/SQRT(SUMSQ(F$2:F$301)))*$BE$5)</f>
        <v/>
      </c>
      <c r="AB59">
        <f>IF(Datos!A59="","",IF(SUMSQ(G$2:G$301)=0,0,G59/SQRT(SUMSQ(G$2:G$301)))*$BE$6)</f>
        <v/>
      </c>
      <c r="AC59">
        <f>IF(Datos!A59="","",IF(SUMSQ(H$2:H$301)=0,0,H59/SQRT(SUMSQ(H$2:H$301)))*$BE$7)</f>
        <v/>
      </c>
      <c r="AE59">
        <f>IF(Datos!A59="","",SQRT(SUMXMY2(X59:AC59,$X$303:$AC$303)))</f>
        <v/>
      </c>
      <c r="AF59">
        <f>IF(Datos!A59="","",SQRT(SUMXMY2(X59:AC59,$X$304:$AC$304)))</f>
        <v/>
      </c>
      <c r="AG59" s="11">
        <f>IF(Datos!A59="","",IF(AE59+AF59&lt;0.000000001,0.5,AF59/(AE59+AF59)))</f>
        <v/>
      </c>
      <c r="AH59">
        <f>IF(Datos!A59="","",AG59*MAX(C59*D59,1))</f>
        <v/>
      </c>
      <c r="AI59">
        <f>IF(Datos!A59="","",SUMIF($AH$2:$AH$301,"&gt;="&amp;AH59,$AH$2:$AH$301)/SUM($AH$2:$AH$301))</f>
        <v/>
      </c>
      <c r="AJ59" s="12">
        <f>IF(Datos!A59="","",IF(AI59&lt;=Parametros!$B$13,"A",IF(AI59&lt;=Parametros!$B$14,"B","C")))</f>
        <v/>
      </c>
      <c r="AK59" s="13">
        <f>IF(Datos!A59="","",VLOOKUP(AJ59,Parametros!$A$8:$C$10,2,FALSE))</f>
        <v/>
      </c>
      <c r="AL59">
        <f>IF(Datos!A59="","",VLOOKUP(AJ59,Parametros!$A$8:$C$10,3,FALSE))</f>
        <v/>
      </c>
      <c r="AM59">
        <f>IF(Datos!A59="","",NORMSINV(AK59))</f>
        <v/>
      </c>
      <c r="AN59">
        <f>IF(Datos!A59="","",D59/Parametros!$B$4)</f>
        <v/>
      </c>
      <c r="AO59">
        <f>IF(Datos!A59="","",MAX(0,ROUNDUP(AM59*(AN59*Parametros!$B$3)*SQRT((AL59+E59)),0)))</f>
        <v/>
      </c>
      <c r="AP59">
        <f>IF(Datos!A59="","",MAX(1,ROUNDUP(AN59*(AL59+E59)+AM59*(AN59*Parametros!$B$3)*SQRT((AL59+E59)),0)))</f>
        <v/>
      </c>
      <c r="AQ59">
        <f>IF(Datos!A59="","",IF(Datos!J59="","",Datos!J59))</f>
        <v/>
      </c>
      <c r="AR59">
        <f>IF(OR(Datos!A59="",AQ59=""),"",MAX(0,AQ59-AP59))</f>
        <v/>
      </c>
      <c r="AS59" s="10">
        <f>IF(OR(Datos!A59="",AQ59=""),"",AR59*C59)</f>
        <v/>
      </c>
      <c r="AT59" s="12">
        <f>IF(OR(Datos!A59="",AQ59=""),"",IF(AQ59&lt;AO59,"SI",""))</f>
        <v/>
      </c>
      <c r="AU59">
        <f>IF(Datos!A59="","",IF(AT59="SI","Reponer ahora",IF(AND(AQ59&lt;&gt;"",AR59&gt;0),"Bajar "&amp;TEXT(AR59,"#,##0")&amp;" un.","En rango")))</f>
        <v/>
      </c>
    </row>
    <row r="60">
      <c r="A60">
        <f>IF(Datos!A60="","",Datos!A60)</f>
        <v/>
      </c>
      <c r="B60">
        <f>IF(Datos!A60="","",Datos!B60)</f>
        <v/>
      </c>
      <c r="C60">
        <f>IF(Datos!A60="","",IFERROR(MAX(0,N(Datos!D60)),0))</f>
        <v/>
      </c>
      <c r="D60">
        <f>IF(Datos!A60="","",IFERROR(MAX(0,N(Datos!E60)),0))</f>
        <v/>
      </c>
      <c r="E60">
        <f>IF(Datos!A60="","",IFERROR(MAX(0,N(Datos!F60)),0))</f>
        <v/>
      </c>
      <c r="F60">
        <f>IF(Datos!A60="","",IFERROR(MAX(0,N(Datos!G60)),0))</f>
        <v/>
      </c>
      <c r="G60">
        <f>IF(Datos!A60="","",IFERROR(MAX(0,N(Datos!H60)),0))</f>
        <v/>
      </c>
      <c r="H60">
        <f>IF(Datos!A60="","",IFERROR(MAX(0,N(Datos!I60)),0))</f>
        <v/>
      </c>
      <c r="J60">
        <f>IF(Datos!A60="","",IF(MAX(C$2:C$301)-MIN(C$2:C$301)&lt;0.000000001,0.5,(C60-MIN(C$2:C$301))/(MAX(C$2:C$301)-MIN(C$2:C$301)))+0.000000001)</f>
        <v/>
      </c>
      <c r="K60">
        <f>IF(Datos!A60="","",IF(MAX(D$2:D$301)-MIN(D$2:D$301)&lt;0.000000001,0.5,(D60-MIN(D$2:D$301))/(MAX(D$2:D$301)-MIN(D$2:D$301)))+0.000000001)</f>
        <v/>
      </c>
      <c r="L60">
        <f>IF(Datos!A60="","",IF(MAX(E$2:E$301)-MIN(E$2:E$301)&lt;0.000000001,0.5,(E60-MIN(E$2:E$301))/(MAX(E$2:E$301)-MIN(E$2:E$301)))+0.000000001)</f>
        <v/>
      </c>
      <c r="M60">
        <f>IF(Datos!A60="","",IF(MAX(F$2:F$301)-MIN(F$2:F$301)&lt;0.000000001,0.5,(F60-MIN(F$2:F$301))/(MAX(F$2:F$301)-MIN(F$2:F$301)))+0.000000001)</f>
        <v/>
      </c>
      <c r="N60">
        <f>IF(Datos!A60="","",IF(MAX(G$2:G$301)-MIN(G$2:G$301)&lt;0.000000001,0.5,(G60-MIN(G$2:G$301))/(MAX(G$2:G$301)-MIN(G$2:G$301)))+0.000000001)</f>
        <v/>
      </c>
      <c r="O60">
        <f>IF(Datos!A60="","",IF(MAX(H$2:H$301)-MIN(H$2:H$301)&lt;0.000000001,0.5,(H60-MIN(H$2:H$301))/(MAX(H$2:H$301)-MIN(H$2:H$301)))+0.000000001)</f>
        <v/>
      </c>
      <c r="Q60">
        <f>IF(Datos!A60="","",(J60/SUM(J$2:J$301))*LN(J60/SUM(J$2:J$301)))</f>
        <v/>
      </c>
      <c r="R60">
        <f>IF(Datos!A60="","",(K60/SUM(K$2:K$301))*LN(K60/SUM(K$2:K$301)))</f>
        <v/>
      </c>
      <c r="S60">
        <f>IF(Datos!A60="","",(L60/SUM(L$2:L$301))*LN(L60/SUM(L$2:L$301)))</f>
        <v/>
      </c>
      <c r="T60">
        <f>IF(Datos!A60="","",(M60/SUM(M$2:M$301))*LN(M60/SUM(M$2:M$301)))</f>
        <v/>
      </c>
      <c r="U60">
        <f>IF(Datos!A60="","",(N60/SUM(N$2:N$301))*LN(N60/SUM(N$2:N$301)))</f>
        <v/>
      </c>
      <c r="V60">
        <f>IF(Datos!A60="","",(O60/SUM(O$2:O$301))*LN(O60/SUM(O$2:O$301)))</f>
        <v/>
      </c>
      <c r="X60">
        <f>IF(Datos!A60="","",IF(SUMSQ(C$2:C$301)=0,0,C60/SQRT(SUMSQ(C$2:C$301)))*$BE$2)</f>
        <v/>
      </c>
      <c r="Y60">
        <f>IF(Datos!A60="","",IF(SUMSQ(D$2:D$301)=0,0,D60/SQRT(SUMSQ(D$2:D$301)))*$BE$3)</f>
        <v/>
      </c>
      <c r="Z60">
        <f>IF(Datos!A60="","",IF(SUMSQ(E$2:E$301)=0,0,E60/SQRT(SUMSQ(E$2:E$301)))*$BE$4)</f>
        <v/>
      </c>
      <c r="AA60">
        <f>IF(Datos!A60="","",IF(SUMSQ(F$2:F$301)=0,0,F60/SQRT(SUMSQ(F$2:F$301)))*$BE$5)</f>
        <v/>
      </c>
      <c r="AB60">
        <f>IF(Datos!A60="","",IF(SUMSQ(G$2:G$301)=0,0,G60/SQRT(SUMSQ(G$2:G$301)))*$BE$6)</f>
        <v/>
      </c>
      <c r="AC60">
        <f>IF(Datos!A60="","",IF(SUMSQ(H$2:H$301)=0,0,H60/SQRT(SUMSQ(H$2:H$301)))*$BE$7)</f>
        <v/>
      </c>
      <c r="AE60">
        <f>IF(Datos!A60="","",SQRT(SUMXMY2(X60:AC60,$X$303:$AC$303)))</f>
        <v/>
      </c>
      <c r="AF60">
        <f>IF(Datos!A60="","",SQRT(SUMXMY2(X60:AC60,$X$304:$AC$304)))</f>
        <v/>
      </c>
      <c r="AG60" s="11">
        <f>IF(Datos!A60="","",IF(AE60+AF60&lt;0.000000001,0.5,AF60/(AE60+AF60)))</f>
        <v/>
      </c>
      <c r="AH60">
        <f>IF(Datos!A60="","",AG60*MAX(C60*D60,1))</f>
        <v/>
      </c>
      <c r="AI60">
        <f>IF(Datos!A60="","",SUMIF($AH$2:$AH$301,"&gt;="&amp;AH60,$AH$2:$AH$301)/SUM($AH$2:$AH$301))</f>
        <v/>
      </c>
      <c r="AJ60" s="12">
        <f>IF(Datos!A60="","",IF(AI60&lt;=Parametros!$B$13,"A",IF(AI60&lt;=Parametros!$B$14,"B","C")))</f>
        <v/>
      </c>
      <c r="AK60" s="13">
        <f>IF(Datos!A60="","",VLOOKUP(AJ60,Parametros!$A$8:$C$10,2,FALSE))</f>
        <v/>
      </c>
      <c r="AL60">
        <f>IF(Datos!A60="","",VLOOKUP(AJ60,Parametros!$A$8:$C$10,3,FALSE))</f>
        <v/>
      </c>
      <c r="AM60">
        <f>IF(Datos!A60="","",NORMSINV(AK60))</f>
        <v/>
      </c>
      <c r="AN60">
        <f>IF(Datos!A60="","",D60/Parametros!$B$4)</f>
        <v/>
      </c>
      <c r="AO60">
        <f>IF(Datos!A60="","",MAX(0,ROUNDUP(AM60*(AN60*Parametros!$B$3)*SQRT((AL60+E60)),0)))</f>
        <v/>
      </c>
      <c r="AP60">
        <f>IF(Datos!A60="","",MAX(1,ROUNDUP(AN60*(AL60+E60)+AM60*(AN60*Parametros!$B$3)*SQRT((AL60+E60)),0)))</f>
        <v/>
      </c>
      <c r="AQ60">
        <f>IF(Datos!A60="","",IF(Datos!J60="","",Datos!J60))</f>
        <v/>
      </c>
      <c r="AR60">
        <f>IF(OR(Datos!A60="",AQ60=""),"",MAX(0,AQ60-AP60))</f>
        <v/>
      </c>
      <c r="AS60" s="10">
        <f>IF(OR(Datos!A60="",AQ60=""),"",AR60*C60)</f>
        <v/>
      </c>
      <c r="AT60" s="12">
        <f>IF(OR(Datos!A60="",AQ60=""),"",IF(AQ60&lt;AO60,"SI",""))</f>
        <v/>
      </c>
      <c r="AU60">
        <f>IF(Datos!A60="","",IF(AT60="SI","Reponer ahora",IF(AND(AQ60&lt;&gt;"",AR60&gt;0),"Bajar "&amp;TEXT(AR60,"#,##0")&amp;" un.","En rango")))</f>
        <v/>
      </c>
    </row>
    <row r="61">
      <c r="A61">
        <f>IF(Datos!A61="","",Datos!A61)</f>
        <v/>
      </c>
      <c r="B61">
        <f>IF(Datos!A61="","",Datos!B61)</f>
        <v/>
      </c>
      <c r="C61">
        <f>IF(Datos!A61="","",IFERROR(MAX(0,N(Datos!D61)),0))</f>
        <v/>
      </c>
      <c r="D61">
        <f>IF(Datos!A61="","",IFERROR(MAX(0,N(Datos!E61)),0))</f>
        <v/>
      </c>
      <c r="E61">
        <f>IF(Datos!A61="","",IFERROR(MAX(0,N(Datos!F61)),0))</f>
        <v/>
      </c>
      <c r="F61">
        <f>IF(Datos!A61="","",IFERROR(MAX(0,N(Datos!G61)),0))</f>
        <v/>
      </c>
      <c r="G61">
        <f>IF(Datos!A61="","",IFERROR(MAX(0,N(Datos!H61)),0))</f>
        <v/>
      </c>
      <c r="H61">
        <f>IF(Datos!A61="","",IFERROR(MAX(0,N(Datos!I61)),0))</f>
        <v/>
      </c>
      <c r="J61">
        <f>IF(Datos!A61="","",IF(MAX(C$2:C$301)-MIN(C$2:C$301)&lt;0.000000001,0.5,(C61-MIN(C$2:C$301))/(MAX(C$2:C$301)-MIN(C$2:C$301)))+0.000000001)</f>
        <v/>
      </c>
      <c r="K61">
        <f>IF(Datos!A61="","",IF(MAX(D$2:D$301)-MIN(D$2:D$301)&lt;0.000000001,0.5,(D61-MIN(D$2:D$301))/(MAX(D$2:D$301)-MIN(D$2:D$301)))+0.000000001)</f>
        <v/>
      </c>
      <c r="L61">
        <f>IF(Datos!A61="","",IF(MAX(E$2:E$301)-MIN(E$2:E$301)&lt;0.000000001,0.5,(E61-MIN(E$2:E$301))/(MAX(E$2:E$301)-MIN(E$2:E$301)))+0.000000001)</f>
        <v/>
      </c>
      <c r="M61">
        <f>IF(Datos!A61="","",IF(MAX(F$2:F$301)-MIN(F$2:F$301)&lt;0.000000001,0.5,(F61-MIN(F$2:F$301))/(MAX(F$2:F$301)-MIN(F$2:F$301)))+0.000000001)</f>
        <v/>
      </c>
      <c r="N61">
        <f>IF(Datos!A61="","",IF(MAX(G$2:G$301)-MIN(G$2:G$301)&lt;0.000000001,0.5,(G61-MIN(G$2:G$301))/(MAX(G$2:G$301)-MIN(G$2:G$301)))+0.000000001)</f>
        <v/>
      </c>
      <c r="O61">
        <f>IF(Datos!A61="","",IF(MAX(H$2:H$301)-MIN(H$2:H$301)&lt;0.000000001,0.5,(H61-MIN(H$2:H$301))/(MAX(H$2:H$301)-MIN(H$2:H$301)))+0.000000001)</f>
        <v/>
      </c>
      <c r="Q61">
        <f>IF(Datos!A61="","",(J61/SUM(J$2:J$301))*LN(J61/SUM(J$2:J$301)))</f>
        <v/>
      </c>
      <c r="R61">
        <f>IF(Datos!A61="","",(K61/SUM(K$2:K$301))*LN(K61/SUM(K$2:K$301)))</f>
        <v/>
      </c>
      <c r="S61">
        <f>IF(Datos!A61="","",(L61/SUM(L$2:L$301))*LN(L61/SUM(L$2:L$301)))</f>
        <v/>
      </c>
      <c r="T61">
        <f>IF(Datos!A61="","",(M61/SUM(M$2:M$301))*LN(M61/SUM(M$2:M$301)))</f>
        <v/>
      </c>
      <c r="U61">
        <f>IF(Datos!A61="","",(N61/SUM(N$2:N$301))*LN(N61/SUM(N$2:N$301)))</f>
        <v/>
      </c>
      <c r="V61">
        <f>IF(Datos!A61="","",(O61/SUM(O$2:O$301))*LN(O61/SUM(O$2:O$301)))</f>
        <v/>
      </c>
      <c r="X61">
        <f>IF(Datos!A61="","",IF(SUMSQ(C$2:C$301)=0,0,C61/SQRT(SUMSQ(C$2:C$301)))*$BE$2)</f>
        <v/>
      </c>
      <c r="Y61">
        <f>IF(Datos!A61="","",IF(SUMSQ(D$2:D$301)=0,0,D61/SQRT(SUMSQ(D$2:D$301)))*$BE$3)</f>
        <v/>
      </c>
      <c r="Z61">
        <f>IF(Datos!A61="","",IF(SUMSQ(E$2:E$301)=0,0,E61/SQRT(SUMSQ(E$2:E$301)))*$BE$4)</f>
        <v/>
      </c>
      <c r="AA61">
        <f>IF(Datos!A61="","",IF(SUMSQ(F$2:F$301)=0,0,F61/SQRT(SUMSQ(F$2:F$301)))*$BE$5)</f>
        <v/>
      </c>
      <c r="AB61">
        <f>IF(Datos!A61="","",IF(SUMSQ(G$2:G$301)=0,0,G61/SQRT(SUMSQ(G$2:G$301)))*$BE$6)</f>
        <v/>
      </c>
      <c r="AC61">
        <f>IF(Datos!A61="","",IF(SUMSQ(H$2:H$301)=0,0,H61/SQRT(SUMSQ(H$2:H$301)))*$BE$7)</f>
        <v/>
      </c>
      <c r="AE61">
        <f>IF(Datos!A61="","",SQRT(SUMXMY2(X61:AC61,$X$303:$AC$303)))</f>
        <v/>
      </c>
      <c r="AF61">
        <f>IF(Datos!A61="","",SQRT(SUMXMY2(X61:AC61,$X$304:$AC$304)))</f>
        <v/>
      </c>
      <c r="AG61" s="11">
        <f>IF(Datos!A61="","",IF(AE61+AF61&lt;0.000000001,0.5,AF61/(AE61+AF61)))</f>
        <v/>
      </c>
      <c r="AH61">
        <f>IF(Datos!A61="","",AG61*MAX(C61*D61,1))</f>
        <v/>
      </c>
      <c r="AI61">
        <f>IF(Datos!A61="","",SUMIF($AH$2:$AH$301,"&gt;="&amp;AH61,$AH$2:$AH$301)/SUM($AH$2:$AH$301))</f>
        <v/>
      </c>
      <c r="AJ61" s="12">
        <f>IF(Datos!A61="","",IF(AI61&lt;=Parametros!$B$13,"A",IF(AI61&lt;=Parametros!$B$14,"B","C")))</f>
        <v/>
      </c>
      <c r="AK61" s="13">
        <f>IF(Datos!A61="","",VLOOKUP(AJ61,Parametros!$A$8:$C$10,2,FALSE))</f>
        <v/>
      </c>
      <c r="AL61">
        <f>IF(Datos!A61="","",VLOOKUP(AJ61,Parametros!$A$8:$C$10,3,FALSE))</f>
        <v/>
      </c>
      <c r="AM61">
        <f>IF(Datos!A61="","",NORMSINV(AK61))</f>
        <v/>
      </c>
      <c r="AN61">
        <f>IF(Datos!A61="","",D61/Parametros!$B$4)</f>
        <v/>
      </c>
      <c r="AO61">
        <f>IF(Datos!A61="","",MAX(0,ROUNDUP(AM61*(AN61*Parametros!$B$3)*SQRT((AL61+E61)),0)))</f>
        <v/>
      </c>
      <c r="AP61">
        <f>IF(Datos!A61="","",MAX(1,ROUNDUP(AN61*(AL61+E61)+AM61*(AN61*Parametros!$B$3)*SQRT((AL61+E61)),0)))</f>
        <v/>
      </c>
      <c r="AQ61">
        <f>IF(Datos!A61="","",IF(Datos!J61="","",Datos!J61))</f>
        <v/>
      </c>
      <c r="AR61">
        <f>IF(OR(Datos!A61="",AQ61=""),"",MAX(0,AQ61-AP61))</f>
        <v/>
      </c>
      <c r="AS61" s="10">
        <f>IF(OR(Datos!A61="",AQ61=""),"",AR61*C61)</f>
        <v/>
      </c>
      <c r="AT61" s="12">
        <f>IF(OR(Datos!A61="",AQ61=""),"",IF(AQ61&lt;AO61,"SI",""))</f>
        <v/>
      </c>
      <c r="AU61">
        <f>IF(Datos!A61="","",IF(AT61="SI","Reponer ahora",IF(AND(AQ61&lt;&gt;"",AR61&gt;0),"Bajar "&amp;TEXT(AR61,"#,##0")&amp;" un.","En rango")))</f>
        <v/>
      </c>
    </row>
    <row r="62">
      <c r="A62">
        <f>IF(Datos!A62="","",Datos!A62)</f>
        <v/>
      </c>
      <c r="B62">
        <f>IF(Datos!A62="","",Datos!B62)</f>
        <v/>
      </c>
      <c r="C62">
        <f>IF(Datos!A62="","",IFERROR(MAX(0,N(Datos!D62)),0))</f>
        <v/>
      </c>
      <c r="D62">
        <f>IF(Datos!A62="","",IFERROR(MAX(0,N(Datos!E62)),0))</f>
        <v/>
      </c>
      <c r="E62">
        <f>IF(Datos!A62="","",IFERROR(MAX(0,N(Datos!F62)),0))</f>
        <v/>
      </c>
      <c r="F62">
        <f>IF(Datos!A62="","",IFERROR(MAX(0,N(Datos!G62)),0))</f>
        <v/>
      </c>
      <c r="G62">
        <f>IF(Datos!A62="","",IFERROR(MAX(0,N(Datos!H62)),0))</f>
        <v/>
      </c>
      <c r="H62">
        <f>IF(Datos!A62="","",IFERROR(MAX(0,N(Datos!I62)),0))</f>
        <v/>
      </c>
      <c r="J62">
        <f>IF(Datos!A62="","",IF(MAX(C$2:C$301)-MIN(C$2:C$301)&lt;0.000000001,0.5,(C62-MIN(C$2:C$301))/(MAX(C$2:C$301)-MIN(C$2:C$301)))+0.000000001)</f>
        <v/>
      </c>
      <c r="K62">
        <f>IF(Datos!A62="","",IF(MAX(D$2:D$301)-MIN(D$2:D$301)&lt;0.000000001,0.5,(D62-MIN(D$2:D$301))/(MAX(D$2:D$301)-MIN(D$2:D$301)))+0.000000001)</f>
        <v/>
      </c>
      <c r="L62">
        <f>IF(Datos!A62="","",IF(MAX(E$2:E$301)-MIN(E$2:E$301)&lt;0.000000001,0.5,(E62-MIN(E$2:E$301))/(MAX(E$2:E$301)-MIN(E$2:E$301)))+0.000000001)</f>
        <v/>
      </c>
      <c r="M62">
        <f>IF(Datos!A62="","",IF(MAX(F$2:F$301)-MIN(F$2:F$301)&lt;0.000000001,0.5,(F62-MIN(F$2:F$301))/(MAX(F$2:F$301)-MIN(F$2:F$301)))+0.000000001)</f>
        <v/>
      </c>
      <c r="N62">
        <f>IF(Datos!A62="","",IF(MAX(G$2:G$301)-MIN(G$2:G$301)&lt;0.000000001,0.5,(G62-MIN(G$2:G$301))/(MAX(G$2:G$301)-MIN(G$2:G$301)))+0.000000001)</f>
        <v/>
      </c>
      <c r="O62">
        <f>IF(Datos!A62="","",IF(MAX(H$2:H$301)-MIN(H$2:H$301)&lt;0.000000001,0.5,(H62-MIN(H$2:H$301))/(MAX(H$2:H$301)-MIN(H$2:H$301)))+0.000000001)</f>
        <v/>
      </c>
      <c r="Q62">
        <f>IF(Datos!A62="","",(J62/SUM(J$2:J$301))*LN(J62/SUM(J$2:J$301)))</f>
        <v/>
      </c>
      <c r="R62">
        <f>IF(Datos!A62="","",(K62/SUM(K$2:K$301))*LN(K62/SUM(K$2:K$301)))</f>
        <v/>
      </c>
      <c r="S62">
        <f>IF(Datos!A62="","",(L62/SUM(L$2:L$301))*LN(L62/SUM(L$2:L$301)))</f>
        <v/>
      </c>
      <c r="T62">
        <f>IF(Datos!A62="","",(M62/SUM(M$2:M$301))*LN(M62/SUM(M$2:M$301)))</f>
        <v/>
      </c>
      <c r="U62">
        <f>IF(Datos!A62="","",(N62/SUM(N$2:N$301))*LN(N62/SUM(N$2:N$301)))</f>
        <v/>
      </c>
      <c r="V62">
        <f>IF(Datos!A62="","",(O62/SUM(O$2:O$301))*LN(O62/SUM(O$2:O$301)))</f>
        <v/>
      </c>
      <c r="X62">
        <f>IF(Datos!A62="","",IF(SUMSQ(C$2:C$301)=0,0,C62/SQRT(SUMSQ(C$2:C$301)))*$BE$2)</f>
        <v/>
      </c>
      <c r="Y62">
        <f>IF(Datos!A62="","",IF(SUMSQ(D$2:D$301)=0,0,D62/SQRT(SUMSQ(D$2:D$301)))*$BE$3)</f>
        <v/>
      </c>
      <c r="Z62">
        <f>IF(Datos!A62="","",IF(SUMSQ(E$2:E$301)=0,0,E62/SQRT(SUMSQ(E$2:E$301)))*$BE$4)</f>
        <v/>
      </c>
      <c r="AA62">
        <f>IF(Datos!A62="","",IF(SUMSQ(F$2:F$301)=0,0,F62/SQRT(SUMSQ(F$2:F$301)))*$BE$5)</f>
        <v/>
      </c>
      <c r="AB62">
        <f>IF(Datos!A62="","",IF(SUMSQ(G$2:G$301)=0,0,G62/SQRT(SUMSQ(G$2:G$301)))*$BE$6)</f>
        <v/>
      </c>
      <c r="AC62">
        <f>IF(Datos!A62="","",IF(SUMSQ(H$2:H$301)=0,0,H62/SQRT(SUMSQ(H$2:H$301)))*$BE$7)</f>
        <v/>
      </c>
      <c r="AE62">
        <f>IF(Datos!A62="","",SQRT(SUMXMY2(X62:AC62,$X$303:$AC$303)))</f>
        <v/>
      </c>
      <c r="AF62">
        <f>IF(Datos!A62="","",SQRT(SUMXMY2(X62:AC62,$X$304:$AC$304)))</f>
        <v/>
      </c>
      <c r="AG62" s="11">
        <f>IF(Datos!A62="","",IF(AE62+AF62&lt;0.000000001,0.5,AF62/(AE62+AF62)))</f>
        <v/>
      </c>
      <c r="AH62">
        <f>IF(Datos!A62="","",AG62*MAX(C62*D62,1))</f>
        <v/>
      </c>
      <c r="AI62">
        <f>IF(Datos!A62="","",SUMIF($AH$2:$AH$301,"&gt;="&amp;AH62,$AH$2:$AH$301)/SUM($AH$2:$AH$301))</f>
        <v/>
      </c>
      <c r="AJ62" s="12">
        <f>IF(Datos!A62="","",IF(AI62&lt;=Parametros!$B$13,"A",IF(AI62&lt;=Parametros!$B$14,"B","C")))</f>
        <v/>
      </c>
      <c r="AK62" s="13">
        <f>IF(Datos!A62="","",VLOOKUP(AJ62,Parametros!$A$8:$C$10,2,FALSE))</f>
        <v/>
      </c>
      <c r="AL62">
        <f>IF(Datos!A62="","",VLOOKUP(AJ62,Parametros!$A$8:$C$10,3,FALSE))</f>
        <v/>
      </c>
      <c r="AM62">
        <f>IF(Datos!A62="","",NORMSINV(AK62))</f>
        <v/>
      </c>
      <c r="AN62">
        <f>IF(Datos!A62="","",D62/Parametros!$B$4)</f>
        <v/>
      </c>
      <c r="AO62">
        <f>IF(Datos!A62="","",MAX(0,ROUNDUP(AM62*(AN62*Parametros!$B$3)*SQRT((AL62+E62)),0)))</f>
        <v/>
      </c>
      <c r="AP62">
        <f>IF(Datos!A62="","",MAX(1,ROUNDUP(AN62*(AL62+E62)+AM62*(AN62*Parametros!$B$3)*SQRT((AL62+E62)),0)))</f>
        <v/>
      </c>
      <c r="AQ62">
        <f>IF(Datos!A62="","",IF(Datos!J62="","",Datos!J62))</f>
        <v/>
      </c>
      <c r="AR62">
        <f>IF(OR(Datos!A62="",AQ62=""),"",MAX(0,AQ62-AP62))</f>
        <v/>
      </c>
      <c r="AS62" s="10">
        <f>IF(OR(Datos!A62="",AQ62=""),"",AR62*C62)</f>
        <v/>
      </c>
      <c r="AT62" s="12">
        <f>IF(OR(Datos!A62="",AQ62=""),"",IF(AQ62&lt;AO62,"SI",""))</f>
        <v/>
      </c>
      <c r="AU62">
        <f>IF(Datos!A62="","",IF(AT62="SI","Reponer ahora",IF(AND(AQ62&lt;&gt;"",AR62&gt;0),"Bajar "&amp;TEXT(AR62,"#,##0")&amp;" un.","En rango")))</f>
        <v/>
      </c>
    </row>
    <row r="63">
      <c r="A63">
        <f>IF(Datos!A63="","",Datos!A63)</f>
        <v/>
      </c>
      <c r="B63">
        <f>IF(Datos!A63="","",Datos!B63)</f>
        <v/>
      </c>
      <c r="C63">
        <f>IF(Datos!A63="","",IFERROR(MAX(0,N(Datos!D63)),0))</f>
        <v/>
      </c>
      <c r="D63">
        <f>IF(Datos!A63="","",IFERROR(MAX(0,N(Datos!E63)),0))</f>
        <v/>
      </c>
      <c r="E63">
        <f>IF(Datos!A63="","",IFERROR(MAX(0,N(Datos!F63)),0))</f>
        <v/>
      </c>
      <c r="F63">
        <f>IF(Datos!A63="","",IFERROR(MAX(0,N(Datos!G63)),0))</f>
        <v/>
      </c>
      <c r="G63">
        <f>IF(Datos!A63="","",IFERROR(MAX(0,N(Datos!H63)),0))</f>
        <v/>
      </c>
      <c r="H63">
        <f>IF(Datos!A63="","",IFERROR(MAX(0,N(Datos!I63)),0))</f>
        <v/>
      </c>
      <c r="J63">
        <f>IF(Datos!A63="","",IF(MAX(C$2:C$301)-MIN(C$2:C$301)&lt;0.000000001,0.5,(C63-MIN(C$2:C$301))/(MAX(C$2:C$301)-MIN(C$2:C$301)))+0.000000001)</f>
        <v/>
      </c>
      <c r="K63">
        <f>IF(Datos!A63="","",IF(MAX(D$2:D$301)-MIN(D$2:D$301)&lt;0.000000001,0.5,(D63-MIN(D$2:D$301))/(MAX(D$2:D$301)-MIN(D$2:D$301)))+0.000000001)</f>
        <v/>
      </c>
      <c r="L63">
        <f>IF(Datos!A63="","",IF(MAX(E$2:E$301)-MIN(E$2:E$301)&lt;0.000000001,0.5,(E63-MIN(E$2:E$301))/(MAX(E$2:E$301)-MIN(E$2:E$301)))+0.000000001)</f>
        <v/>
      </c>
      <c r="M63">
        <f>IF(Datos!A63="","",IF(MAX(F$2:F$301)-MIN(F$2:F$301)&lt;0.000000001,0.5,(F63-MIN(F$2:F$301))/(MAX(F$2:F$301)-MIN(F$2:F$301)))+0.000000001)</f>
        <v/>
      </c>
      <c r="N63">
        <f>IF(Datos!A63="","",IF(MAX(G$2:G$301)-MIN(G$2:G$301)&lt;0.000000001,0.5,(G63-MIN(G$2:G$301))/(MAX(G$2:G$301)-MIN(G$2:G$301)))+0.000000001)</f>
        <v/>
      </c>
      <c r="O63">
        <f>IF(Datos!A63="","",IF(MAX(H$2:H$301)-MIN(H$2:H$301)&lt;0.000000001,0.5,(H63-MIN(H$2:H$301))/(MAX(H$2:H$301)-MIN(H$2:H$301)))+0.000000001)</f>
        <v/>
      </c>
      <c r="Q63">
        <f>IF(Datos!A63="","",(J63/SUM(J$2:J$301))*LN(J63/SUM(J$2:J$301)))</f>
        <v/>
      </c>
      <c r="R63">
        <f>IF(Datos!A63="","",(K63/SUM(K$2:K$301))*LN(K63/SUM(K$2:K$301)))</f>
        <v/>
      </c>
      <c r="S63">
        <f>IF(Datos!A63="","",(L63/SUM(L$2:L$301))*LN(L63/SUM(L$2:L$301)))</f>
        <v/>
      </c>
      <c r="T63">
        <f>IF(Datos!A63="","",(M63/SUM(M$2:M$301))*LN(M63/SUM(M$2:M$301)))</f>
        <v/>
      </c>
      <c r="U63">
        <f>IF(Datos!A63="","",(N63/SUM(N$2:N$301))*LN(N63/SUM(N$2:N$301)))</f>
        <v/>
      </c>
      <c r="V63">
        <f>IF(Datos!A63="","",(O63/SUM(O$2:O$301))*LN(O63/SUM(O$2:O$301)))</f>
        <v/>
      </c>
      <c r="X63">
        <f>IF(Datos!A63="","",IF(SUMSQ(C$2:C$301)=0,0,C63/SQRT(SUMSQ(C$2:C$301)))*$BE$2)</f>
        <v/>
      </c>
      <c r="Y63">
        <f>IF(Datos!A63="","",IF(SUMSQ(D$2:D$301)=0,0,D63/SQRT(SUMSQ(D$2:D$301)))*$BE$3)</f>
        <v/>
      </c>
      <c r="Z63">
        <f>IF(Datos!A63="","",IF(SUMSQ(E$2:E$301)=0,0,E63/SQRT(SUMSQ(E$2:E$301)))*$BE$4)</f>
        <v/>
      </c>
      <c r="AA63">
        <f>IF(Datos!A63="","",IF(SUMSQ(F$2:F$301)=0,0,F63/SQRT(SUMSQ(F$2:F$301)))*$BE$5)</f>
        <v/>
      </c>
      <c r="AB63">
        <f>IF(Datos!A63="","",IF(SUMSQ(G$2:G$301)=0,0,G63/SQRT(SUMSQ(G$2:G$301)))*$BE$6)</f>
        <v/>
      </c>
      <c r="AC63">
        <f>IF(Datos!A63="","",IF(SUMSQ(H$2:H$301)=0,0,H63/SQRT(SUMSQ(H$2:H$301)))*$BE$7)</f>
        <v/>
      </c>
      <c r="AE63">
        <f>IF(Datos!A63="","",SQRT(SUMXMY2(X63:AC63,$X$303:$AC$303)))</f>
        <v/>
      </c>
      <c r="AF63">
        <f>IF(Datos!A63="","",SQRT(SUMXMY2(X63:AC63,$X$304:$AC$304)))</f>
        <v/>
      </c>
      <c r="AG63" s="11">
        <f>IF(Datos!A63="","",IF(AE63+AF63&lt;0.000000001,0.5,AF63/(AE63+AF63)))</f>
        <v/>
      </c>
      <c r="AH63">
        <f>IF(Datos!A63="","",AG63*MAX(C63*D63,1))</f>
        <v/>
      </c>
      <c r="AI63">
        <f>IF(Datos!A63="","",SUMIF($AH$2:$AH$301,"&gt;="&amp;AH63,$AH$2:$AH$301)/SUM($AH$2:$AH$301))</f>
        <v/>
      </c>
      <c r="AJ63" s="12">
        <f>IF(Datos!A63="","",IF(AI63&lt;=Parametros!$B$13,"A",IF(AI63&lt;=Parametros!$B$14,"B","C")))</f>
        <v/>
      </c>
      <c r="AK63" s="13">
        <f>IF(Datos!A63="","",VLOOKUP(AJ63,Parametros!$A$8:$C$10,2,FALSE))</f>
        <v/>
      </c>
      <c r="AL63">
        <f>IF(Datos!A63="","",VLOOKUP(AJ63,Parametros!$A$8:$C$10,3,FALSE))</f>
        <v/>
      </c>
      <c r="AM63">
        <f>IF(Datos!A63="","",NORMSINV(AK63))</f>
        <v/>
      </c>
      <c r="AN63">
        <f>IF(Datos!A63="","",D63/Parametros!$B$4)</f>
        <v/>
      </c>
      <c r="AO63">
        <f>IF(Datos!A63="","",MAX(0,ROUNDUP(AM63*(AN63*Parametros!$B$3)*SQRT((AL63+E63)),0)))</f>
        <v/>
      </c>
      <c r="AP63">
        <f>IF(Datos!A63="","",MAX(1,ROUNDUP(AN63*(AL63+E63)+AM63*(AN63*Parametros!$B$3)*SQRT((AL63+E63)),0)))</f>
        <v/>
      </c>
      <c r="AQ63">
        <f>IF(Datos!A63="","",IF(Datos!J63="","",Datos!J63))</f>
        <v/>
      </c>
      <c r="AR63">
        <f>IF(OR(Datos!A63="",AQ63=""),"",MAX(0,AQ63-AP63))</f>
        <v/>
      </c>
      <c r="AS63" s="10">
        <f>IF(OR(Datos!A63="",AQ63=""),"",AR63*C63)</f>
        <v/>
      </c>
      <c r="AT63" s="12">
        <f>IF(OR(Datos!A63="",AQ63=""),"",IF(AQ63&lt;AO63,"SI",""))</f>
        <v/>
      </c>
      <c r="AU63">
        <f>IF(Datos!A63="","",IF(AT63="SI","Reponer ahora",IF(AND(AQ63&lt;&gt;"",AR63&gt;0),"Bajar "&amp;TEXT(AR63,"#,##0")&amp;" un.","En rango")))</f>
        <v/>
      </c>
    </row>
    <row r="64">
      <c r="A64">
        <f>IF(Datos!A64="","",Datos!A64)</f>
        <v/>
      </c>
      <c r="B64">
        <f>IF(Datos!A64="","",Datos!B64)</f>
        <v/>
      </c>
      <c r="C64">
        <f>IF(Datos!A64="","",IFERROR(MAX(0,N(Datos!D64)),0))</f>
        <v/>
      </c>
      <c r="D64">
        <f>IF(Datos!A64="","",IFERROR(MAX(0,N(Datos!E64)),0))</f>
        <v/>
      </c>
      <c r="E64">
        <f>IF(Datos!A64="","",IFERROR(MAX(0,N(Datos!F64)),0))</f>
        <v/>
      </c>
      <c r="F64">
        <f>IF(Datos!A64="","",IFERROR(MAX(0,N(Datos!G64)),0))</f>
        <v/>
      </c>
      <c r="G64">
        <f>IF(Datos!A64="","",IFERROR(MAX(0,N(Datos!H64)),0))</f>
        <v/>
      </c>
      <c r="H64">
        <f>IF(Datos!A64="","",IFERROR(MAX(0,N(Datos!I64)),0))</f>
        <v/>
      </c>
      <c r="J64">
        <f>IF(Datos!A64="","",IF(MAX(C$2:C$301)-MIN(C$2:C$301)&lt;0.000000001,0.5,(C64-MIN(C$2:C$301))/(MAX(C$2:C$301)-MIN(C$2:C$301)))+0.000000001)</f>
        <v/>
      </c>
      <c r="K64">
        <f>IF(Datos!A64="","",IF(MAX(D$2:D$301)-MIN(D$2:D$301)&lt;0.000000001,0.5,(D64-MIN(D$2:D$301))/(MAX(D$2:D$301)-MIN(D$2:D$301)))+0.000000001)</f>
        <v/>
      </c>
      <c r="L64">
        <f>IF(Datos!A64="","",IF(MAX(E$2:E$301)-MIN(E$2:E$301)&lt;0.000000001,0.5,(E64-MIN(E$2:E$301))/(MAX(E$2:E$301)-MIN(E$2:E$301)))+0.000000001)</f>
        <v/>
      </c>
      <c r="M64">
        <f>IF(Datos!A64="","",IF(MAX(F$2:F$301)-MIN(F$2:F$301)&lt;0.000000001,0.5,(F64-MIN(F$2:F$301))/(MAX(F$2:F$301)-MIN(F$2:F$301)))+0.000000001)</f>
        <v/>
      </c>
      <c r="N64">
        <f>IF(Datos!A64="","",IF(MAX(G$2:G$301)-MIN(G$2:G$301)&lt;0.000000001,0.5,(G64-MIN(G$2:G$301))/(MAX(G$2:G$301)-MIN(G$2:G$301)))+0.000000001)</f>
        <v/>
      </c>
      <c r="O64">
        <f>IF(Datos!A64="","",IF(MAX(H$2:H$301)-MIN(H$2:H$301)&lt;0.000000001,0.5,(H64-MIN(H$2:H$301))/(MAX(H$2:H$301)-MIN(H$2:H$301)))+0.000000001)</f>
        <v/>
      </c>
      <c r="Q64">
        <f>IF(Datos!A64="","",(J64/SUM(J$2:J$301))*LN(J64/SUM(J$2:J$301)))</f>
        <v/>
      </c>
      <c r="R64">
        <f>IF(Datos!A64="","",(K64/SUM(K$2:K$301))*LN(K64/SUM(K$2:K$301)))</f>
        <v/>
      </c>
      <c r="S64">
        <f>IF(Datos!A64="","",(L64/SUM(L$2:L$301))*LN(L64/SUM(L$2:L$301)))</f>
        <v/>
      </c>
      <c r="T64">
        <f>IF(Datos!A64="","",(M64/SUM(M$2:M$301))*LN(M64/SUM(M$2:M$301)))</f>
        <v/>
      </c>
      <c r="U64">
        <f>IF(Datos!A64="","",(N64/SUM(N$2:N$301))*LN(N64/SUM(N$2:N$301)))</f>
        <v/>
      </c>
      <c r="V64">
        <f>IF(Datos!A64="","",(O64/SUM(O$2:O$301))*LN(O64/SUM(O$2:O$301)))</f>
        <v/>
      </c>
      <c r="X64">
        <f>IF(Datos!A64="","",IF(SUMSQ(C$2:C$301)=0,0,C64/SQRT(SUMSQ(C$2:C$301)))*$BE$2)</f>
        <v/>
      </c>
      <c r="Y64">
        <f>IF(Datos!A64="","",IF(SUMSQ(D$2:D$301)=0,0,D64/SQRT(SUMSQ(D$2:D$301)))*$BE$3)</f>
        <v/>
      </c>
      <c r="Z64">
        <f>IF(Datos!A64="","",IF(SUMSQ(E$2:E$301)=0,0,E64/SQRT(SUMSQ(E$2:E$301)))*$BE$4)</f>
        <v/>
      </c>
      <c r="AA64">
        <f>IF(Datos!A64="","",IF(SUMSQ(F$2:F$301)=0,0,F64/SQRT(SUMSQ(F$2:F$301)))*$BE$5)</f>
        <v/>
      </c>
      <c r="AB64">
        <f>IF(Datos!A64="","",IF(SUMSQ(G$2:G$301)=0,0,G64/SQRT(SUMSQ(G$2:G$301)))*$BE$6)</f>
        <v/>
      </c>
      <c r="AC64">
        <f>IF(Datos!A64="","",IF(SUMSQ(H$2:H$301)=0,0,H64/SQRT(SUMSQ(H$2:H$301)))*$BE$7)</f>
        <v/>
      </c>
      <c r="AE64">
        <f>IF(Datos!A64="","",SQRT(SUMXMY2(X64:AC64,$X$303:$AC$303)))</f>
        <v/>
      </c>
      <c r="AF64">
        <f>IF(Datos!A64="","",SQRT(SUMXMY2(X64:AC64,$X$304:$AC$304)))</f>
        <v/>
      </c>
      <c r="AG64" s="11">
        <f>IF(Datos!A64="","",IF(AE64+AF64&lt;0.000000001,0.5,AF64/(AE64+AF64)))</f>
        <v/>
      </c>
      <c r="AH64">
        <f>IF(Datos!A64="","",AG64*MAX(C64*D64,1))</f>
        <v/>
      </c>
      <c r="AI64">
        <f>IF(Datos!A64="","",SUMIF($AH$2:$AH$301,"&gt;="&amp;AH64,$AH$2:$AH$301)/SUM($AH$2:$AH$301))</f>
        <v/>
      </c>
      <c r="AJ64" s="12">
        <f>IF(Datos!A64="","",IF(AI64&lt;=Parametros!$B$13,"A",IF(AI64&lt;=Parametros!$B$14,"B","C")))</f>
        <v/>
      </c>
      <c r="AK64" s="13">
        <f>IF(Datos!A64="","",VLOOKUP(AJ64,Parametros!$A$8:$C$10,2,FALSE))</f>
        <v/>
      </c>
      <c r="AL64">
        <f>IF(Datos!A64="","",VLOOKUP(AJ64,Parametros!$A$8:$C$10,3,FALSE))</f>
        <v/>
      </c>
      <c r="AM64">
        <f>IF(Datos!A64="","",NORMSINV(AK64))</f>
        <v/>
      </c>
      <c r="AN64">
        <f>IF(Datos!A64="","",D64/Parametros!$B$4)</f>
        <v/>
      </c>
      <c r="AO64">
        <f>IF(Datos!A64="","",MAX(0,ROUNDUP(AM64*(AN64*Parametros!$B$3)*SQRT((AL64+E64)),0)))</f>
        <v/>
      </c>
      <c r="AP64">
        <f>IF(Datos!A64="","",MAX(1,ROUNDUP(AN64*(AL64+E64)+AM64*(AN64*Parametros!$B$3)*SQRT((AL64+E64)),0)))</f>
        <v/>
      </c>
      <c r="AQ64">
        <f>IF(Datos!A64="","",IF(Datos!J64="","",Datos!J64))</f>
        <v/>
      </c>
      <c r="AR64">
        <f>IF(OR(Datos!A64="",AQ64=""),"",MAX(0,AQ64-AP64))</f>
        <v/>
      </c>
      <c r="AS64" s="10">
        <f>IF(OR(Datos!A64="",AQ64=""),"",AR64*C64)</f>
        <v/>
      </c>
      <c r="AT64" s="12">
        <f>IF(OR(Datos!A64="",AQ64=""),"",IF(AQ64&lt;AO64,"SI",""))</f>
        <v/>
      </c>
      <c r="AU64">
        <f>IF(Datos!A64="","",IF(AT64="SI","Reponer ahora",IF(AND(AQ64&lt;&gt;"",AR64&gt;0),"Bajar "&amp;TEXT(AR64,"#,##0")&amp;" un.","En rango")))</f>
        <v/>
      </c>
    </row>
    <row r="65">
      <c r="A65">
        <f>IF(Datos!A65="","",Datos!A65)</f>
        <v/>
      </c>
      <c r="B65">
        <f>IF(Datos!A65="","",Datos!B65)</f>
        <v/>
      </c>
      <c r="C65">
        <f>IF(Datos!A65="","",IFERROR(MAX(0,N(Datos!D65)),0))</f>
        <v/>
      </c>
      <c r="D65">
        <f>IF(Datos!A65="","",IFERROR(MAX(0,N(Datos!E65)),0))</f>
        <v/>
      </c>
      <c r="E65">
        <f>IF(Datos!A65="","",IFERROR(MAX(0,N(Datos!F65)),0))</f>
        <v/>
      </c>
      <c r="F65">
        <f>IF(Datos!A65="","",IFERROR(MAX(0,N(Datos!G65)),0))</f>
        <v/>
      </c>
      <c r="G65">
        <f>IF(Datos!A65="","",IFERROR(MAX(0,N(Datos!H65)),0))</f>
        <v/>
      </c>
      <c r="H65">
        <f>IF(Datos!A65="","",IFERROR(MAX(0,N(Datos!I65)),0))</f>
        <v/>
      </c>
      <c r="J65">
        <f>IF(Datos!A65="","",IF(MAX(C$2:C$301)-MIN(C$2:C$301)&lt;0.000000001,0.5,(C65-MIN(C$2:C$301))/(MAX(C$2:C$301)-MIN(C$2:C$301)))+0.000000001)</f>
        <v/>
      </c>
      <c r="K65">
        <f>IF(Datos!A65="","",IF(MAX(D$2:D$301)-MIN(D$2:D$301)&lt;0.000000001,0.5,(D65-MIN(D$2:D$301))/(MAX(D$2:D$301)-MIN(D$2:D$301)))+0.000000001)</f>
        <v/>
      </c>
      <c r="L65">
        <f>IF(Datos!A65="","",IF(MAX(E$2:E$301)-MIN(E$2:E$301)&lt;0.000000001,0.5,(E65-MIN(E$2:E$301))/(MAX(E$2:E$301)-MIN(E$2:E$301)))+0.000000001)</f>
        <v/>
      </c>
      <c r="M65">
        <f>IF(Datos!A65="","",IF(MAX(F$2:F$301)-MIN(F$2:F$301)&lt;0.000000001,0.5,(F65-MIN(F$2:F$301))/(MAX(F$2:F$301)-MIN(F$2:F$301)))+0.000000001)</f>
        <v/>
      </c>
      <c r="N65">
        <f>IF(Datos!A65="","",IF(MAX(G$2:G$301)-MIN(G$2:G$301)&lt;0.000000001,0.5,(G65-MIN(G$2:G$301))/(MAX(G$2:G$301)-MIN(G$2:G$301)))+0.000000001)</f>
        <v/>
      </c>
      <c r="O65">
        <f>IF(Datos!A65="","",IF(MAX(H$2:H$301)-MIN(H$2:H$301)&lt;0.000000001,0.5,(H65-MIN(H$2:H$301))/(MAX(H$2:H$301)-MIN(H$2:H$301)))+0.000000001)</f>
        <v/>
      </c>
      <c r="Q65">
        <f>IF(Datos!A65="","",(J65/SUM(J$2:J$301))*LN(J65/SUM(J$2:J$301)))</f>
        <v/>
      </c>
      <c r="R65">
        <f>IF(Datos!A65="","",(K65/SUM(K$2:K$301))*LN(K65/SUM(K$2:K$301)))</f>
        <v/>
      </c>
      <c r="S65">
        <f>IF(Datos!A65="","",(L65/SUM(L$2:L$301))*LN(L65/SUM(L$2:L$301)))</f>
        <v/>
      </c>
      <c r="T65">
        <f>IF(Datos!A65="","",(M65/SUM(M$2:M$301))*LN(M65/SUM(M$2:M$301)))</f>
        <v/>
      </c>
      <c r="U65">
        <f>IF(Datos!A65="","",(N65/SUM(N$2:N$301))*LN(N65/SUM(N$2:N$301)))</f>
        <v/>
      </c>
      <c r="V65">
        <f>IF(Datos!A65="","",(O65/SUM(O$2:O$301))*LN(O65/SUM(O$2:O$301)))</f>
        <v/>
      </c>
      <c r="X65">
        <f>IF(Datos!A65="","",IF(SUMSQ(C$2:C$301)=0,0,C65/SQRT(SUMSQ(C$2:C$301)))*$BE$2)</f>
        <v/>
      </c>
      <c r="Y65">
        <f>IF(Datos!A65="","",IF(SUMSQ(D$2:D$301)=0,0,D65/SQRT(SUMSQ(D$2:D$301)))*$BE$3)</f>
        <v/>
      </c>
      <c r="Z65">
        <f>IF(Datos!A65="","",IF(SUMSQ(E$2:E$301)=0,0,E65/SQRT(SUMSQ(E$2:E$301)))*$BE$4)</f>
        <v/>
      </c>
      <c r="AA65">
        <f>IF(Datos!A65="","",IF(SUMSQ(F$2:F$301)=0,0,F65/SQRT(SUMSQ(F$2:F$301)))*$BE$5)</f>
        <v/>
      </c>
      <c r="AB65">
        <f>IF(Datos!A65="","",IF(SUMSQ(G$2:G$301)=0,0,G65/SQRT(SUMSQ(G$2:G$301)))*$BE$6)</f>
        <v/>
      </c>
      <c r="AC65">
        <f>IF(Datos!A65="","",IF(SUMSQ(H$2:H$301)=0,0,H65/SQRT(SUMSQ(H$2:H$301)))*$BE$7)</f>
        <v/>
      </c>
      <c r="AE65">
        <f>IF(Datos!A65="","",SQRT(SUMXMY2(X65:AC65,$X$303:$AC$303)))</f>
        <v/>
      </c>
      <c r="AF65">
        <f>IF(Datos!A65="","",SQRT(SUMXMY2(X65:AC65,$X$304:$AC$304)))</f>
        <v/>
      </c>
      <c r="AG65" s="11">
        <f>IF(Datos!A65="","",IF(AE65+AF65&lt;0.000000001,0.5,AF65/(AE65+AF65)))</f>
        <v/>
      </c>
      <c r="AH65">
        <f>IF(Datos!A65="","",AG65*MAX(C65*D65,1))</f>
        <v/>
      </c>
      <c r="AI65">
        <f>IF(Datos!A65="","",SUMIF($AH$2:$AH$301,"&gt;="&amp;AH65,$AH$2:$AH$301)/SUM($AH$2:$AH$301))</f>
        <v/>
      </c>
      <c r="AJ65" s="12">
        <f>IF(Datos!A65="","",IF(AI65&lt;=Parametros!$B$13,"A",IF(AI65&lt;=Parametros!$B$14,"B","C")))</f>
        <v/>
      </c>
      <c r="AK65" s="13">
        <f>IF(Datos!A65="","",VLOOKUP(AJ65,Parametros!$A$8:$C$10,2,FALSE))</f>
        <v/>
      </c>
      <c r="AL65">
        <f>IF(Datos!A65="","",VLOOKUP(AJ65,Parametros!$A$8:$C$10,3,FALSE))</f>
        <v/>
      </c>
      <c r="AM65">
        <f>IF(Datos!A65="","",NORMSINV(AK65))</f>
        <v/>
      </c>
      <c r="AN65">
        <f>IF(Datos!A65="","",D65/Parametros!$B$4)</f>
        <v/>
      </c>
      <c r="AO65">
        <f>IF(Datos!A65="","",MAX(0,ROUNDUP(AM65*(AN65*Parametros!$B$3)*SQRT((AL65+E65)),0)))</f>
        <v/>
      </c>
      <c r="AP65">
        <f>IF(Datos!A65="","",MAX(1,ROUNDUP(AN65*(AL65+E65)+AM65*(AN65*Parametros!$B$3)*SQRT((AL65+E65)),0)))</f>
        <v/>
      </c>
      <c r="AQ65">
        <f>IF(Datos!A65="","",IF(Datos!J65="","",Datos!J65))</f>
        <v/>
      </c>
      <c r="AR65">
        <f>IF(OR(Datos!A65="",AQ65=""),"",MAX(0,AQ65-AP65))</f>
        <v/>
      </c>
      <c r="AS65" s="10">
        <f>IF(OR(Datos!A65="",AQ65=""),"",AR65*C65)</f>
        <v/>
      </c>
      <c r="AT65" s="12">
        <f>IF(OR(Datos!A65="",AQ65=""),"",IF(AQ65&lt;AO65,"SI",""))</f>
        <v/>
      </c>
      <c r="AU65">
        <f>IF(Datos!A65="","",IF(AT65="SI","Reponer ahora",IF(AND(AQ65&lt;&gt;"",AR65&gt;0),"Bajar "&amp;TEXT(AR65,"#,##0")&amp;" un.","En rango")))</f>
        <v/>
      </c>
    </row>
    <row r="66">
      <c r="A66">
        <f>IF(Datos!A66="","",Datos!A66)</f>
        <v/>
      </c>
      <c r="B66">
        <f>IF(Datos!A66="","",Datos!B66)</f>
        <v/>
      </c>
      <c r="C66">
        <f>IF(Datos!A66="","",IFERROR(MAX(0,N(Datos!D66)),0))</f>
        <v/>
      </c>
      <c r="D66">
        <f>IF(Datos!A66="","",IFERROR(MAX(0,N(Datos!E66)),0))</f>
        <v/>
      </c>
      <c r="E66">
        <f>IF(Datos!A66="","",IFERROR(MAX(0,N(Datos!F66)),0))</f>
        <v/>
      </c>
      <c r="F66">
        <f>IF(Datos!A66="","",IFERROR(MAX(0,N(Datos!G66)),0))</f>
        <v/>
      </c>
      <c r="G66">
        <f>IF(Datos!A66="","",IFERROR(MAX(0,N(Datos!H66)),0))</f>
        <v/>
      </c>
      <c r="H66">
        <f>IF(Datos!A66="","",IFERROR(MAX(0,N(Datos!I66)),0))</f>
        <v/>
      </c>
      <c r="J66">
        <f>IF(Datos!A66="","",IF(MAX(C$2:C$301)-MIN(C$2:C$301)&lt;0.000000001,0.5,(C66-MIN(C$2:C$301))/(MAX(C$2:C$301)-MIN(C$2:C$301)))+0.000000001)</f>
        <v/>
      </c>
      <c r="K66">
        <f>IF(Datos!A66="","",IF(MAX(D$2:D$301)-MIN(D$2:D$301)&lt;0.000000001,0.5,(D66-MIN(D$2:D$301))/(MAX(D$2:D$301)-MIN(D$2:D$301)))+0.000000001)</f>
        <v/>
      </c>
      <c r="L66">
        <f>IF(Datos!A66="","",IF(MAX(E$2:E$301)-MIN(E$2:E$301)&lt;0.000000001,0.5,(E66-MIN(E$2:E$301))/(MAX(E$2:E$301)-MIN(E$2:E$301)))+0.000000001)</f>
        <v/>
      </c>
      <c r="M66">
        <f>IF(Datos!A66="","",IF(MAX(F$2:F$301)-MIN(F$2:F$301)&lt;0.000000001,0.5,(F66-MIN(F$2:F$301))/(MAX(F$2:F$301)-MIN(F$2:F$301)))+0.000000001)</f>
        <v/>
      </c>
      <c r="N66">
        <f>IF(Datos!A66="","",IF(MAX(G$2:G$301)-MIN(G$2:G$301)&lt;0.000000001,0.5,(G66-MIN(G$2:G$301))/(MAX(G$2:G$301)-MIN(G$2:G$301)))+0.000000001)</f>
        <v/>
      </c>
      <c r="O66">
        <f>IF(Datos!A66="","",IF(MAX(H$2:H$301)-MIN(H$2:H$301)&lt;0.000000001,0.5,(H66-MIN(H$2:H$301))/(MAX(H$2:H$301)-MIN(H$2:H$301)))+0.000000001)</f>
        <v/>
      </c>
      <c r="Q66">
        <f>IF(Datos!A66="","",(J66/SUM(J$2:J$301))*LN(J66/SUM(J$2:J$301)))</f>
        <v/>
      </c>
      <c r="R66">
        <f>IF(Datos!A66="","",(K66/SUM(K$2:K$301))*LN(K66/SUM(K$2:K$301)))</f>
        <v/>
      </c>
      <c r="S66">
        <f>IF(Datos!A66="","",(L66/SUM(L$2:L$301))*LN(L66/SUM(L$2:L$301)))</f>
        <v/>
      </c>
      <c r="T66">
        <f>IF(Datos!A66="","",(M66/SUM(M$2:M$301))*LN(M66/SUM(M$2:M$301)))</f>
        <v/>
      </c>
      <c r="U66">
        <f>IF(Datos!A66="","",(N66/SUM(N$2:N$301))*LN(N66/SUM(N$2:N$301)))</f>
        <v/>
      </c>
      <c r="V66">
        <f>IF(Datos!A66="","",(O66/SUM(O$2:O$301))*LN(O66/SUM(O$2:O$301)))</f>
        <v/>
      </c>
      <c r="X66">
        <f>IF(Datos!A66="","",IF(SUMSQ(C$2:C$301)=0,0,C66/SQRT(SUMSQ(C$2:C$301)))*$BE$2)</f>
        <v/>
      </c>
      <c r="Y66">
        <f>IF(Datos!A66="","",IF(SUMSQ(D$2:D$301)=0,0,D66/SQRT(SUMSQ(D$2:D$301)))*$BE$3)</f>
        <v/>
      </c>
      <c r="Z66">
        <f>IF(Datos!A66="","",IF(SUMSQ(E$2:E$301)=0,0,E66/SQRT(SUMSQ(E$2:E$301)))*$BE$4)</f>
        <v/>
      </c>
      <c r="AA66">
        <f>IF(Datos!A66="","",IF(SUMSQ(F$2:F$301)=0,0,F66/SQRT(SUMSQ(F$2:F$301)))*$BE$5)</f>
        <v/>
      </c>
      <c r="AB66">
        <f>IF(Datos!A66="","",IF(SUMSQ(G$2:G$301)=0,0,G66/SQRT(SUMSQ(G$2:G$301)))*$BE$6)</f>
        <v/>
      </c>
      <c r="AC66">
        <f>IF(Datos!A66="","",IF(SUMSQ(H$2:H$301)=0,0,H66/SQRT(SUMSQ(H$2:H$301)))*$BE$7)</f>
        <v/>
      </c>
      <c r="AE66">
        <f>IF(Datos!A66="","",SQRT(SUMXMY2(X66:AC66,$X$303:$AC$303)))</f>
        <v/>
      </c>
      <c r="AF66">
        <f>IF(Datos!A66="","",SQRT(SUMXMY2(X66:AC66,$X$304:$AC$304)))</f>
        <v/>
      </c>
      <c r="AG66" s="11">
        <f>IF(Datos!A66="","",IF(AE66+AF66&lt;0.000000001,0.5,AF66/(AE66+AF66)))</f>
        <v/>
      </c>
      <c r="AH66">
        <f>IF(Datos!A66="","",AG66*MAX(C66*D66,1))</f>
        <v/>
      </c>
      <c r="AI66">
        <f>IF(Datos!A66="","",SUMIF($AH$2:$AH$301,"&gt;="&amp;AH66,$AH$2:$AH$301)/SUM($AH$2:$AH$301))</f>
        <v/>
      </c>
      <c r="AJ66" s="12">
        <f>IF(Datos!A66="","",IF(AI66&lt;=Parametros!$B$13,"A",IF(AI66&lt;=Parametros!$B$14,"B","C")))</f>
        <v/>
      </c>
      <c r="AK66" s="13">
        <f>IF(Datos!A66="","",VLOOKUP(AJ66,Parametros!$A$8:$C$10,2,FALSE))</f>
        <v/>
      </c>
      <c r="AL66">
        <f>IF(Datos!A66="","",VLOOKUP(AJ66,Parametros!$A$8:$C$10,3,FALSE))</f>
        <v/>
      </c>
      <c r="AM66">
        <f>IF(Datos!A66="","",NORMSINV(AK66))</f>
        <v/>
      </c>
      <c r="AN66">
        <f>IF(Datos!A66="","",D66/Parametros!$B$4)</f>
        <v/>
      </c>
      <c r="AO66">
        <f>IF(Datos!A66="","",MAX(0,ROUNDUP(AM66*(AN66*Parametros!$B$3)*SQRT((AL66+E66)),0)))</f>
        <v/>
      </c>
      <c r="AP66">
        <f>IF(Datos!A66="","",MAX(1,ROUNDUP(AN66*(AL66+E66)+AM66*(AN66*Parametros!$B$3)*SQRT((AL66+E66)),0)))</f>
        <v/>
      </c>
      <c r="AQ66">
        <f>IF(Datos!A66="","",IF(Datos!J66="","",Datos!J66))</f>
        <v/>
      </c>
      <c r="AR66">
        <f>IF(OR(Datos!A66="",AQ66=""),"",MAX(0,AQ66-AP66))</f>
        <v/>
      </c>
      <c r="AS66" s="10">
        <f>IF(OR(Datos!A66="",AQ66=""),"",AR66*C66)</f>
        <v/>
      </c>
      <c r="AT66" s="12">
        <f>IF(OR(Datos!A66="",AQ66=""),"",IF(AQ66&lt;AO66,"SI",""))</f>
        <v/>
      </c>
      <c r="AU66">
        <f>IF(Datos!A66="","",IF(AT66="SI","Reponer ahora",IF(AND(AQ66&lt;&gt;"",AR66&gt;0),"Bajar "&amp;TEXT(AR66,"#,##0")&amp;" un.","En rango")))</f>
        <v/>
      </c>
    </row>
    <row r="67">
      <c r="A67">
        <f>IF(Datos!A67="","",Datos!A67)</f>
        <v/>
      </c>
      <c r="B67">
        <f>IF(Datos!A67="","",Datos!B67)</f>
        <v/>
      </c>
      <c r="C67">
        <f>IF(Datos!A67="","",IFERROR(MAX(0,N(Datos!D67)),0))</f>
        <v/>
      </c>
      <c r="D67">
        <f>IF(Datos!A67="","",IFERROR(MAX(0,N(Datos!E67)),0))</f>
        <v/>
      </c>
      <c r="E67">
        <f>IF(Datos!A67="","",IFERROR(MAX(0,N(Datos!F67)),0))</f>
        <v/>
      </c>
      <c r="F67">
        <f>IF(Datos!A67="","",IFERROR(MAX(0,N(Datos!G67)),0))</f>
        <v/>
      </c>
      <c r="G67">
        <f>IF(Datos!A67="","",IFERROR(MAX(0,N(Datos!H67)),0))</f>
        <v/>
      </c>
      <c r="H67">
        <f>IF(Datos!A67="","",IFERROR(MAX(0,N(Datos!I67)),0))</f>
        <v/>
      </c>
      <c r="J67">
        <f>IF(Datos!A67="","",IF(MAX(C$2:C$301)-MIN(C$2:C$301)&lt;0.000000001,0.5,(C67-MIN(C$2:C$301))/(MAX(C$2:C$301)-MIN(C$2:C$301)))+0.000000001)</f>
        <v/>
      </c>
      <c r="K67">
        <f>IF(Datos!A67="","",IF(MAX(D$2:D$301)-MIN(D$2:D$301)&lt;0.000000001,0.5,(D67-MIN(D$2:D$301))/(MAX(D$2:D$301)-MIN(D$2:D$301)))+0.000000001)</f>
        <v/>
      </c>
      <c r="L67">
        <f>IF(Datos!A67="","",IF(MAX(E$2:E$301)-MIN(E$2:E$301)&lt;0.000000001,0.5,(E67-MIN(E$2:E$301))/(MAX(E$2:E$301)-MIN(E$2:E$301)))+0.000000001)</f>
        <v/>
      </c>
      <c r="M67">
        <f>IF(Datos!A67="","",IF(MAX(F$2:F$301)-MIN(F$2:F$301)&lt;0.000000001,0.5,(F67-MIN(F$2:F$301))/(MAX(F$2:F$301)-MIN(F$2:F$301)))+0.000000001)</f>
        <v/>
      </c>
      <c r="N67">
        <f>IF(Datos!A67="","",IF(MAX(G$2:G$301)-MIN(G$2:G$301)&lt;0.000000001,0.5,(G67-MIN(G$2:G$301))/(MAX(G$2:G$301)-MIN(G$2:G$301)))+0.000000001)</f>
        <v/>
      </c>
      <c r="O67">
        <f>IF(Datos!A67="","",IF(MAX(H$2:H$301)-MIN(H$2:H$301)&lt;0.000000001,0.5,(H67-MIN(H$2:H$301))/(MAX(H$2:H$301)-MIN(H$2:H$301)))+0.000000001)</f>
        <v/>
      </c>
      <c r="Q67">
        <f>IF(Datos!A67="","",(J67/SUM(J$2:J$301))*LN(J67/SUM(J$2:J$301)))</f>
        <v/>
      </c>
      <c r="R67">
        <f>IF(Datos!A67="","",(K67/SUM(K$2:K$301))*LN(K67/SUM(K$2:K$301)))</f>
        <v/>
      </c>
      <c r="S67">
        <f>IF(Datos!A67="","",(L67/SUM(L$2:L$301))*LN(L67/SUM(L$2:L$301)))</f>
        <v/>
      </c>
      <c r="T67">
        <f>IF(Datos!A67="","",(M67/SUM(M$2:M$301))*LN(M67/SUM(M$2:M$301)))</f>
        <v/>
      </c>
      <c r="U67">
        <f>IF(Datos!A67="","",(N67/SUM(N$2:N$301))*LN(N67/SUM(N$2:N$301)))</f>
        <v/>
      </c>
      <c r="V67">
        <f>IF(Datos!A67="","",(O67/SUM(O$2:O$301))*LN(O67/SUM(O$2:O$301)))</f>
        <v/>
      </c>
      <c r="X67">
        <f>IF(Datos!A67="","",IF(SUMSQ(C$2:C$301)=0,0,C67/SQRT(SUMSQ(C$2:C$301)))*$BE$2)</f>
        <v/>
      </c>
      <c r="Y67">
        <f>IF(Datos!A67="","",IF(SUMSQ(D$2:D$301)=0,0,D67/SQRT(SUMSQ(D$2:D$301)))*$BE$3)</f>
        <v/>
      </c>
      <c r="Z67">
        <f>IF(Datos!A67="","",IF(SUMSQ(E$2:E$301)=0,0,E67/SQRT(SUMSQ(E$2:E$301)))*$BE$4)</f>
        <v/>
      </c>
      <c r="AA67">
        <f>IF(Datos!A67="","",IF(SUMSQ(F$2:F$301)=0,0,F67/SQRT(SUMSQ(F$2:F$301)))*$BE$5)</f>
        <v/>
      </c>
      <c r="AB67">
        <f>IF(Datos!A67="","",IF(SUMSQ(G$2:G$301)=0,0,G67/SQRT(SUMSQ(G$2:G$301)))*$BE$6)</f>
        <v/>
      </c>
      <c r="AC67">
        <f>IF(Datos!A67="","",IF(SUMSQ(H$2:H$301)=0,0,H67/SQRT(SUMSQ(H$2:H$301)))*$BE$7)</f>
        <v/>
      </c>
      <c r="AE67">
        <f>IF(Datos!A67="","",SQRT(SUMXMY2(X67:AC67,$X$303:$AC$303)))</f>
        <v/>
      </c>
      <c r="AF67">
        <f>IF(Datos!A67="","",SQRT(SUMXMY2(X67:AC67,$X$304:$AC$304)))</f>
        <v/>
      </c>
      <c r="AG67" s="11">
        <f>IF(Datos!A67="","",IF(AE67+AF67&lt;0.000000001,0.5,AF67/(AE67+AF67)))</f>
        <v/>
      </c>
      <c r="AH67">
        <f>IF(Datos!A67="","",AG67*MAX(C67*D67,1))</f>
        <v/>
      </c>
      <c r="AI67">
        <f>IF(Datos!A67="","",SUMIF($AH$2:$AH$301,"&gt;="&amp;AH67,$AH$2:$AH$301)/SUM($AH$2:$AH$301))</f>
        <v/>
      </c>
      <c r="AJ67" s="12">
        <f>IF(Datos!A67="","",IF(AI67&lt;=Parametros!$B$13,"A",IF(AI67&lt;=Parametros!$B$14,"B","C")))</f>
        <v/>
      </c>
      <c r="AK67" s="13">
        <f>IF(Datos!A67="","",VLOOKUP(AJ67,Parametros!$A$8:$C$10,2,FALSE))</f>
        <v/>
      </c>
      <c r="AL67">
        <f>IF(Datos!A67="","",VLOOKUP(AJ67,Parametros!$A$8:$C$10,3,FALSE))</f>
        <v/>
      </c>
      <c r="AM67">
        <f>IF(Datos!A67="","",NORMSINV(AK67))</f>
        <v/>
      </c>
      <c r="AN67">
        <f>IF(Datos!A67="","",D67/Parametros!$B$4)</f>
        <v/>
      </c>
      <c r="AO67">
        <f>IF(Datos!A67="","",MAX(0,ROUNDUP(AM67*(AN67*Parametros!$B$3)*SQRT((AL67+E67)),0)))</f>
        <v/>
      </c>
      <c r="AP67">
        <f>IF(Datos!A67="","",MAX(1,ROUNDUP(AN67*(AL67+E67)+AM67*(AN67*Parametros!$B$3)*SQRT((AL67+E67)),0)))</f>
        <v/>
      </c>
      <c r="AQ67">
        <f>IF(Datos!A67="","",IF(Datos!J67="","",Datos!J67))</f>
        <v/>
      </c>
      <c r="AR67">
        <f>IF(OR(Datos!A67="",AQ67=""),"",MAX(0,AQ67-AP67))</f>
        <v/>
      </c>
      <c r="AS67" s="10">
        <f>IF(OR(Datos!A67="",AQ67=""),"",AR67*C67)</f>
        <v/>
      </c>
      <c r="AT67" s="12">
        <f>IF(OR(Datos!A67="",AQ67=""),"",IF(AQ67&lt;AO67,"SI",""))</f>
        <v/>
      </c>
      <c r="AU67">
        <f>IF(Datos!A67="","",IF(AT67="SI","Reponer ahora",IF(AND(AQ67&lt;&gt;"",AR67&gt;0),"Bajar "&amp;TEXT(AR67,"#,##0")&amp;" un.","En rango")))</f>
        <v/>
      </c>
    </row>
    <row r="68">
      <c r="A68">
        <f>IF(Datos!A68="","",Datos!A68)</f>
        <v/>
      </c>
      <c r="B68">
        <f>IF(Datos!A68="","",Datos!B68)</f>
        <v/>
      </c>
      <c r="C68">
        <f>IF(Datos!A68="","",IFERROR(MAX(0,N(Datos!D68)),0))</f>
        <v/>
      </c>
      <c r="D68">
        <f>IF(Datos!A68="","",IFERROR(MAX(0,N(Datos!E68)),0))</f>
        <v/>
      </c>
      <c r="E68">
        <f>IF(Datos!A68="","",IFERROR(MAX(0,N(Datos!F68)),0))</f>
        <v/>
      </c>
      <c r="F68">
        <f>IF(Datos!A68="","",IFERROR(MAX(0,N(Datos!G68)),0))</f>
        <v/>
      </c>
      <c r="G68">
        <f>IF(Datos!A68="","",IFERROR(MAX(0,N(Datos!H68)),0))</f>
        <v/>
      </c>
      <c r="H68">
        <f>IF(Datos!A68="","",IFERROR(MAX(0,N(Datos!I68)),0))</f>
        <v/>
      </c>
      <c r="J68">
        <f>IF(Datos!A68="","",IF(MAX(C$2:C$301)-MIN(C$2:C$301)&lt;0.000000001,0.5,(C68-MIN(C$2:C$301))/(MAX(C$2:C$301)-MIN(C$2:C$301)))+0.000000001)</f>
        <v/>
      </c>
      <c r="K68">
        <f>IF(Datos!A68="","",IF(MAX(D$2:D$301)-MIN(D$2:D$301)&lt;0.000000001,0.5,(D68-MIN(D$2:D$301))/(MAX(D$2:D$301)-MIN(D$2:D$301)))+0.000000001)</f>
        <v/>
      </c>
      <c r="L68">
        <f>IF(Datos!A68="","",IF(MAX(E$2:E$301)-MIN(E$2:E$301)&lt;0.000000001,0.5,(E68-MIN(E$2:E$301))/(MAX(E$2:E$301)-MIN(E$2:E$301)))+0.000000001)</f>
        <v/>
      </c>
      <c r="M68">
        <f>IF(Datos!A68="","",IF(MAX(F$2:F$301)-MIN(F$2:F$301)&lt;0.000000001,0.5,(F68-MIN(F$2:F$301))/(MAX(F$2:F$301)-MIN(F$2:F$301)))+0.000000001)</f>
        <v/>
      </c>
      <c r="N68">
        <f>IF(Datos!A68="","",IF(MAX(G$2:G$301)-MIN(G$2:G$301)&lt;0.000000001,0.5,(G68-MIN(G$2:G$301))/(MAX(G$2:G$301)-MIN(G$2:G$301)))+0.000000001)</f>
        <v/>
      </c>
      <c r="O68">
        <f>IF(Datos!A68="","",IF(MAX(H$2:H$301)-MIN(H$2:H$301)&lt;0.000000001,0.5,(H68-MIN(H$2:H$301))/(MAX(H$2:H$301)-MIN(H$2:H$301)))+0.000000001)</f>
        <v/>
      </c>
      <c r="Q68">
        <f>IF(Datos!A68="","",(J68/SUM(J$2:J$301))*LN(J68/SUM(J$2:J$301)))</f>
        <v/>
      </c>
      <c r="R68">
        <f>IF(Datos!A68="","",(K68/SUM(K$2:K$301))*LN(K68/SUM(K$2:K$301)))</f>
        <v/>
      </c>
      <c r="S68">
        <f>IF(Datos!A68="","",(L68/SUM(L$2:L$301))*LN(L68/SUM(L$2:L$301)))</f>
        <v/>
      </c>
      <c r="T68">
        <f>IF(Datos!A68="","",(M68/SUM(M$2:M$301))*LN(M68/SUM(M$2:M$301)))</f>
        <v/>
      </c>
      <c r="U68">
        <f>IF(Datos!A68="","",(N68/SUM(N$2:N$301))*LN(N68/SUM(N$2:N$301)))</f>
        <v/>
      </c>
      <c r="V68">
        <f>IF(Datos!A68="","",(O68/SUM(O$2:O$301))*LN(O68/SUM(O$2:O$301)))</f>
        <v/>
      </c>
      <c r="X68">
        <f>IF(Datos!A68="","",IF(SUMSQ(C$2:C$301)=0,0,C68/SQRT(SUMSQ(C$2:C$301)))*$BE$2)</f>
        <v/>
      </c>
      <c r="Y68">
        <f>IF(Datos!A68="","",IF(SUMSQ(D$2:D$301)=0,0,D68/SQRT(SUMSQ(D$2:D$301)))*$BE$3)</f>
        <v/>
      </c>
      <c r="Z68">
        <f>IF(Datos!A68="","",IF(SUMSQ(E$2:E$301)=0,0,E68/SQRT(SUMSQ(E$2:E$301)))*$BE$4)</f>
        <v/>
      </c>
      <c r="AA68">
        <f>IF(Datos!A68="","",IF(SUMSQ(F$2:F$301)=0,0,F68/SQRT(SUMSQ(F$2:F$301)))*$BE$5)</f>
        <v/>
      </c>
      <c r="AB68">
        <f>IF(Datos!A68="","",IF(SUMSQ(G$2:G$301)=0,0,G68/SQRT(SUMSQ(G$2:G$301)))*$BE$6)</f>
        <v/>
      </c>
      <c r="AC68">
        <f>IF(Datos!A68="","",IF(SUMSQ(H$2:H$301)=0,0,H68/SQRT(SUMSQ(H$2:H$301)))*$BE$7)</f>
        <v/>
      </c>
      <c r="AE68">
        <f>IF(Datos!A68="","",SQRT(SUMXMY2(X68:AC68,$X$303:$AC$303)))</f>
        <v/>
      </c>
      <c r="AF68">
        <f>IF(Datos!A68="","",SQRT(SUMXMY2(X68:AC68,$X$304:$AC$304)))</f>
        <v/>
      </c>
      <c r="AG68" s="11">
        <f>IF(Datos!A68="","",IF(AE68+AF68&lt;0.000000001,0.5,AF68/(AE68+AF68)))</f>
        <v/>
      </c>
      <c r="AH68">
        <f>IF(Datos!A68="","",AG68*MAX(C68*D68,1))</f>
        <v/>
      </c>
      <c r="AI68">
        <f>IF(Datos!A68="","",SUMIF($AH$2:$AH$301,"&gt;="&amp;AH68,$AH$2:$AH$301)/SUM($AH$2:$AH$301))</f>
        <v/>
      </c>
      <c r="AJ68" s="12">
        <f>IF(Datos!A68="","",IF(AI68&lt;=Parametros!$B$13,"A",IF(AI68&lt;=Parametros!$B$14,"B","C")))</f>
        <v/>
      </c>
      <c r="AK68" s="13">
        <f>IF(Datos!A68="","",VLOOKUP(AJ68,Parametros!$A$8:$C$10,2,FALSE))</f>
        <v/>
      </c>
      <c r="AL68">
        <f>IF(Datos!A68="","",VLOOKUP(AJ68,Parametros!$A$8:$C$10,3,FALSE))</f>
        <v/>
      </c>
      <c r="AM68">
        <f>IF(Datos!A68="","",NORMSINV(AK68))</f>
        <v/>
      </c>
      <c r="AN68">
        <f>IF(Datos!A68="","",D68/Parametros!$B$4)</f>
        <v/>
      </c>
      <c r="AO68">
        <f>IF(Datos!A68="","",MAX(0,ROUNDUP(AM68*(AN68*Parametros!$B$3)*SQRT((AL68+E68)),0)))</f>
        <v/>
      </c>
      <c r="AP68">
        <f>IF(Datos!A68="","",MAX(1,ROUNDUP(AN68*(AL68+E68)+AM68*(AN68*Parametros!$B$3)*SQRT((AL68+E68)),0)))</f>
        <v/>
      </c>
      <c r="AQ68">
        <f>IF(Datos!A68="","",IF(Datos!J68="","",Datos!J68))</f>
        <v/>
      </c>
      <c r="AR68">
        <f>IF(OR(Datos!A68="",AQ68=""),"",MAX(0,AQ68-AP68))</f>
        <v/>
      </c>
      <c r="AS68" s="10">
        <f>IF(OR(Datos!A68="",AQ68=""),"",AR68*C68)</f>
        <v/>
      </c>
      <c r="AT68" s="12">
        <f>IF(OR(Datos!A68="",AQ68=""),"",IF(AQ68&lt;AO68,"SI",""))</f>
        <v/>
      </c>
      <c r="AU68">
        <f>IF(Datos!A68="","",IF(AT68="SI","Reponer ahora",IF(AND(AQ68&lt;&gt;"",AR68&gt;0),"Bajar "&amp;TEXT(AR68,"#,##0")&amp;" un.","En rango")))</f>
        <v/>
      </c>
    </row>
    <row r="69">
      <c r="A69">
        <f>IF(Datos!A69="","",Datos!A69)</f>
        <v/>
      </c>
      <c r="B69">
        <f>IF(Datos!A69="","",Datos!B69)</f>
        <v/>
      </c>
      <c r="C69">
        <f>IF(Datos!A69="","",IFERROR(MAX(0,N(Datos!D69)),0))</f>
        <v/>
      </c>
      <c r="D69">
        <f>IF(Datos!A69="","",IFERROR(MAX(0,N(Datos!E69)),0))</f>
        <v/>
      </c>
      <c r="E69">
        <f>IF(Datos!A69="","",IFERROR(MAX(0,N(Datos!F69)),0))</f>
        <v/>
      </c>
      <c r="F69">
        <f>IF(Datos!A69="","",IFERROR(MAX(0,N(Datos!G69)),0))</f>
        <v/>
      </c>
      <c r="G69">
        <f>IF(Datos!A69="","",IFERROR(MAX(0,N(Datos!H69)),0))</f>
        <v/>
      </c>
      <c r="H69">
        <f>IF(Datos!A69="","",IFERROR(MAX(0,N(Datos!I69)),0))</f>
        <v/>
      </c>
      <c r="J69">
        <f>IF(Datos!A69="","",IF(MAX(C$2:C$301)-MIN(C$2:C$301)&lt;0.000000001,0.5,(C69-MIN(C$2:C$301))/(MAX(C$2:C$301)-MIN(C$2:C$301)))+0.000000001)</f>
        <v/>
      </c>
      <c r="K69">
        <f>IF(Datos!A69="","",IF(MAX(D$2:D$301)-MIN(D$2:D$301)&lt;0.000000001,0.5,(D69-MIN(D$2:D$301))/(MAX(D$2:D$301)-MIN(D$2:D$301)))+0.000000001)</f>
        <v/>
      </c>
      <c r="L69">
        <f>IF(Datos!A69="","",IF(MAX(E$2:E$301)-MIN(E$2:E$301)&lt;0.000000001,0.5,(E69-MIN(E$2:E$301))/(MAX(E$2:E$301)-MIN(E$2:E$301)))+0.000000001)</f>
        <v/>
      </c>
      <c r="M69">
        <f>IF(Datos!A69="","",IF(MAX(F$2:F$301)-MIN(F$2:F$301)&lt;0.000000001,0.5,(F69-MIN(F$2:F$301))/(MAX(F$2:F$301)-MIN(F$2:F$301)))+0.000000001)</f>
        <v/>
      </c>
      <c r="N69">
        <f>IF(Datos!A69="","",IF(MAX(G$2:G$301)-MIN(G$2:G$301)&lt;0.000000001,0.5,(G69-MIN(G$2:G$301))/(MAX(G$2:G$301)-MIN(G$2:G$301)))+0.000000001)</f>
        <v/>
      </c>
      <c r="O69">
        <f>IF(Datos!A69="","",IF(MAX(H$2:H$301)-MIN(H$2:H$301)&lt;0.000000001,0.5,(H69-MIN(H$2:H$301))/(MAX(H$2:H$301)-MIN(H$2:H$301)))+0.000000001)</f>
        <v/>
      </c>
      <c r="Q69">
        <f>IF(Datos!A69="","",(J69/SUM(J$2:J$301))*LN(J69/SUM(J$2:J$301)))</f>
        <v/>
      </c>
      <c r="R69">
        <f>IF(Datos!A69="","",(K69/SUM(K$2:K$301))*LN(K69/SUM(K$2:K$301)))</f>
        <v/>
      </c>
      <c r="S69">
        <f>IF(Datos!A69="","",(L69/SUM(L$2:L$301))*LN(L69/SUM(L$2:L$301)))</f>
        <v/>
      </c>
      <c r="T69">
        <f>IF(Datos!A69="","",(M69/SUM(M$2:M$301))*LN(M69/SUM(M$2:M$301)))</f>
        <v/>
      </c>
      <c r="U69">
        <f>IF(Datos!A69="","",(N69/SUM(N$2:N$301))*LN(N69/SUM(N$2:N$301)))</f>
        <v/>
      </c>
      <c r="V69">
        <f>IF(Datos!A69="","",(O69/SUM(O$2:O$301))*LN(O69/SUM(O$2:O$301)))</f>
        <v/>
      </c>
      <c r="X69">
        <f>IF(Datos!A69="","",IF(SUMSQ(C$2:C$301)=0,0,C69/SQRT(SUMSQ(C$2:C$301)))*$BE$2)</f>
        <v/>
      </c>
      <c r="Y69">
        <f>IF(Datos!A69="","",IF(SUMSQ(D$2:D$301)=0,0,D69/SQRT(SUMSQ(D$2:D$301)))*$BE$3)</f>
        <v/>
      </c>
      <c r="Z69">
        <f>IF(Datos!A69="","",IF(SUMSQ(E$2:E$301)=0,0,E69/SQRT(SUMSQ(E$2:E$301)))*$BE$4)</f>
        <v/>
      </c>
      <c r="AA69">
        <f>IF(Datos!A69="","",IF(SUMSQ(F$2:F$301)=0,0,F69/SQRT(SUMSQ(F$2:F$301)))*$BE$5)</f>
        <v/>
      </c>
      <c r="AB69">
        <f>IF(Datos!A69="","",IF(SUMSQ(G$2:G$301)=0,0,G69/SQRT(SUMSQ(G$2:G$301)))*$BE$6)</f>
        <v/>
      </c>
      <c r="AC69">
        <f>IF(Datos!A69="","",IF(SUMSQ(H$2:H$301)=0,0,H69/SQRT(SUMSQ(H$2:H$301)))*$BE$7)</f>
        <v/>
      </c>
      <c r="AE69">
        <f>IF(Datos!A69="","",SQRT(SUMXMY2(X69:AC69,$X$303:$AC$303)))</f>
        <v/>
      </c>
      <c r="AF69">
        <f>IF(Datos!A69="","",SQRT(SUMXMY2(X69:AC69,$X$304:$AC$304)))</f>
        <v/>
      </c>
      <c r="AG69" s="11">
        <f>IF(Datos!A69="","",IF(AE69+AF69&lt;0.000000001,0.5,AF69/(AE69+AF69)))</f>
        <v/>
      </c>
      <c r="AH69">
        <f>IF(Datos!A69="","",AG69*MAX(C69*D69,1))</f>
        <v/>
      </c>
      <c r="AI69">
        <f>IF(Datos!A69="","",SUMIF($AH$2:$AH$301,"&gt;="&amp;AH69,$AH$2:$AH$301)/SUM($AH$2:$AH$301))</f>
        <v/>
      </c>
      <c r="AJ69" s="12">
        <f>IF(Datos!A69="","",IF(AI69&lt;=Parametros!$B$13,"A",IF(AI69&lt;=Parametros!$B$14,"B","C")))</f>
        <v/>
      </c>
      <c r="AK69" s="13">
        <f>IF(Datos!A69="","",VLOOKUP(AJ69,Parametros!$A$8:$C$10,2,FALSE))</f>
        <v/>
      </c>
      <c r="AL69">
        <f>IF(Datos!A69="","",VLOOKUP(AJ69,Parametros!$A$8:$C$10,3,FALSE))</f>
        <v/>
      </c>
      <c r="AM69">
        <f>IF(Datos!A69="","",NORMSINV(AK69))</f>
        <v/>
      </c>
      <c r="AN69">
        <f>IF(Datos!A69="","",D69/Parametros!$B$4)</f>
        <v/>
      </c>
      <c r="AO69">
        <f>IF(Datos!A69="","",MAX(0,ROUNDUP(AM69*(AN69*Parametros!$B$3)*SQRT((AL69+E69)),0)))</f>
        <v/>
      </c>
      <c r="AP69">
        <f>IF(Datos!A69="","",MAX(1,ROUNDUP(AN69*(AL69+E69)+AM69*(AN69*Parametros!$B$3)*SQRT((AL69+E69)),0)))</f>
        <v/>
      </c>
      <c r="AQ69">
        <f>IF(Datos!A69="","",IF(Datos!J69="","",Datos!J69))</f>
        <v/>
      </c>
      <c r="AR69">
        <f>IF(OR(Datos!A69="",AQ69=""),"",MAX(0,AQ69-AP69))</f>
        <v/>
      </c>
      <c r="AS69" s="10">
        <f>IF(OR(Datos!A69="",AQ69=""),"",AR69*C69)</f>
        <v/>
      </c>
      <c r="AT69" s="12">
        <f>IF(OR(Datos!A69="",AQ69=""),"",IF(AQ69&lt;AO69,"SI",""))</f>
        <v/>
      </c>
      <c r="AU69">
        <f>IF(Datos!A69="","",IF(AT69="SI","Reponer ahora",IF(AND(AQ69&lt;&gt;"",AR69&gt;0),"Bajar "&amp;TEXT(AR69,"#,##0")&amp;" un.","En rango")))</f>
        <v/>
      </c>
    </row>
    <row r="70">
      <c r="A70">
        <f>IF(Datos!A70="","",Datos!A70)</f>
        <v/>
      </c>
      <c r="B70">
        <f>IF(Datos!A70="","",Datos!B70)</f>
        <v/>
      </c>
      <c r="C70">
        <f>IF(Datos!A70="","",IFERROR(MAX(0,N(Datos!D70)),0))</f>
        <v/>
      </c>
      <c r="D70">
        <f>IF(Datos!A70="","",IFERROR(MAX(0,N(Datos!E70)),0))</f>
        <v/>
      </c>
      <c r="E70">
        <f>IF(Datos!A70="","",IFERROR(MAX(0,N(Datos!F70)),0))</f>
        <v/>
      </c>
      <c r="F70">
        <f>IF(Datos!A70="","",IFERROR(MAX(0,N(Datos!G70)),0))</f>
        <v/>
      </c>
      <c r="G70">
        <f>IF(Datos!A70="","",IFERROR(MAX(0,N(Datos!H70)),0))</f>
        <v/>
      </c>
      <c r="H70">
        <f>IF(Datos!A70="","",IFERROR(MAX(0,N(Datos!I70)),0))</f>
        <v/>
      </c>
      <c r="J70">
        <f>IF(Datos!A70="","",IF(MAX(C$2:C$301)-MIN(C$2:C$301)&lt;0.000000001,0.5,(C70-MIN(C$2:C$301))/(MAX(C$2:C$301)-MIN(C$2:C$301)))+0.000000001)</f>
        <v/>
      </c>
      <c r="K70">
        <f>IF(Datos!A70="","",IF(MAX(D$2:D$301)-MIN(D$2:D$301)&lt;0.000000001,0.5,(D70-MIN(D$2:D$301))/(MAX(D$2:D$301)-MIN(D$2:D$301)))+0.000000001)</f>
        <v/>
      </c>
      <c r="L70">
        <f>IF(Datos!A70="","",IF(MAX(E$2:E$301)-MIN(E$2:E$301)&lt;0.000000001,0.5,(E70-MIN(E$2:E$301))/(MAX(E$2:E$301)-MIN(E$2:E$301)))+0.000000001)</f>
        <v/>
      </c>
      <c r="M70">
        <f>IF(Datos!A70="","",IF(MAX(F$2:F$301)-MIN(F$2:F$301)&lt;0.000000001,0.5,(F70-MIN(F$2:F$301))/(MAX(F$2:F$301)-MIN(F$2:F$301)))+0.000000001)</f>
        <v/>
      </c>
      <c r="N70">
        <f>IF(Datos!A70="","",IF(MAX(G$2:G$301)-MIN(G$2:G$301)&lt;0.000000001,0.5,(G70-MIN(G$2:G$301))/(MAX(G$2:G$301)-MIN(G$2:G$301)))+0.000000001)</f>
        <v/>
      </c>
      <c r="O70">
        <f>IF(Datos!A70="","",IF(MAX(H$2:H$301)-MIN(H$2:H$301)&lt;0.000000001,0.5,(H70-MIN(H$2:H$301))/(MAX(H$2:H$301)-MIN(H$2:H$301)))+0.000000001)</f>
        <v/>
      </c>
      <c r="Q70">
        <f>IF(Datos!A70="","",(J70/SUM(J$2:J$301))*LN(J70/SUM(J$2:J$301)))</f>
        <v/>
      </c>
      <c r="R70">
        <f>IF(Datos!A70="","",(K70/SUM(K$2:K$301))*LN(K70/SUM(K$2:K$301)))</f>
        <v/>
      </c>
      <c r="S70">
        <f>IF(Datos!A70="","",(L70/SUM(L$2:L$301))*LN(L70/SUM(L$2:L$301)))</f>
        <v/>
      </c>
      <c r="T70">
        <f>IF(Datos!A70="","",(M70/SUM(M$2:M$301))*LN(M70/SUM(M$2:M$301)))</f>
        <v/>
      </c>
      <c r="U70">
        <f>IF(Datos!A70="","",(N70/SUM(N$2:N$301))*LN(N70/SUM(N$2:N$301)))</f>
        <v/>
      </c>
      <c r="V70">
        <f>IF(Datos!A70="","",(O70/SUM(O$2:O$301))*LN(O70/SUM(O$2:O$301)))</f>
        <v/>
      </c>
      <c r="X70">
        <f>IF(Datos!A70="","",IF(SUMSQ(C$2:C$301)=0,0,C70/SQRT(SUMSQ(C$2:C$301)))*$BE$2)</f>
        <v/>
      </c>
      <c r="Y70">
        <f>IF(Datos!A70="","",IF(SUMSQ(D$2:D$301)=0,0,D70/SQRT(SUMSQ(D$2:D$301)))*$BE$3)</f>
        <v/>
      </c>
      <c r="Z70">
        <f>IF(Datos!A70="","",IF(SUMSQ(E$2:E$301)=0,0,E70/SQRT(SUMSQ(E$2:E$301)))*$BE$4)</f>
        <v/>
      </c>
      <c r="AA70">
        <f>IF(Datos!A70="","",IF(SUMSQ(F$2:F$301)=0,0,F70/SQRT(SUMSQ(F$2:F$301)))*$BE$5)</f>
        <v/>
      </c>
      <c r="AB70">
        <f>IF(Datos!A70="","",IF(SUMSQ(G$2:G$301)=0,0,G70/SQRT(SUMSQ(G$2:G$301)))*$BE$6)</f>
        <v/>
      </c>
      <c r="AC70">
        <f>IF(Datos!A70="","",IF(SUMSQ(H$2:H$301)=0,0,H70/SQRT(SUMSQ(H$2:H$301)))*$BE$7)</f>
        <v/>
      </c>
      <c r="AE70">
        <f>IF(Datos!A70="","",SQRT(SUMXMY2(X70:AC70,$X$303:$AC$303)))</f>
        <v/>
      </c>
      <c r="AF70">
        <f>IF(Datos!A70="","",SQRT(SUMXMY2(X70:AC70,$X$304:$AC$304)))</f>
        <v/>
      </c>
      <c r="AG70" s="11">
        <f>IF(Datos!A70="","",IF(AE70+AF70&lt;0.000000001,0.5,AF70/(AE70+AF70)))</f>
        <v/>
      </c>
      <c r="AH70">
        <f>IF(Datos!A70="","",AG70*MAX(C70*D70,1))</f>
        <v/>
      </c>
      <c r="AI70">
        <f>IF(Datos!A70="","",SUMIF($AH$2:$AH$301,"&gt;="&amp;AH70,$AH$2:$AH$301)/SUM($AH$2:$AH$301))</f>
        <v/>
      </c>
      <c r="AJ70" s="12">
        <f>IF(Datos!A70="","",IF(AI70&lt;=Parametros!$B$13,"A",IF(AI70&lt;=Parametros!$B$14,"B","C")))</f>
        <v/>
      </c>
      <c r="AK70" s="13">
        <f>IF(Datos!A70="","",VLOOKUP(AJ70,Parametros!$A$8:$C$10,2,FALSE))</f>
        <v/>
      </c>
      <c r="AL70">
        <f>IF(Datos!A70="","",VLOOKUP(AJ70,Parametros!$A$8:$C$10,3,FALSE))</f>
        <v/>
      </c>
      <c r="AM70">
        <f>IF(Datos!A70="","",NORMSINV(AK70))</f>
        <v/>
      </c>
      <c r="AN70">
        <f>IF(Datos!A70="","",D70/Parametros!$B$4)</f>
        <v/>
      </c>
      <c r="AO70">
        <f>IF(Datos!A70="","",MAX(0,ROUNDUP(AM70*(AN70*Parametros!$B$3)*SQRT((AL70+E70)),0)))</f>
        <v/>
      </c>
      <c r="AP70">
        <f>IF(Datos!A70="","",MAX(1,ROUNDUP(AN70*(AL70+E70)+AM70*(AN70*Parametros!$B$3)*SQRT((AL70+E70)),0)))</f>
        <v/>
      </c>
      <c r="AQ70">
        <f>IF(Datos!A70="","",IF(Datos!J70="","",Datos!J70))</f>
        <v/>
      </c>
      <c r="AR70">
        <f>IF(OR(Datos!A70="",AQ70=""),"",MAX(0,AQ70-AP70))</f>
        <v/>
      </c>
      <c r="AS70" s="10">
        <f>IF(OR(Datos!A70="",AQ70=""),"",AR70*C70)</f>
        <v/>
      </c>
      <c r="AT70" s="12">
        <f>IF(OR(Datos!A70="",AQ70=""),"",IF(AQ70&lt;AO70,"SI",""))</f>
        <v/>
      </c>
      <c r="AU70">
        <f>IF(Datos!A70="","",IF(AT70="SI","Reponer ahora",IF(AND(AQ70&lt;&gt;"",AR70&gt;0),"Bajar "&amp;TEXT(AR70,"#,##0")&amp;" un.","En rango")))</f>
        <v/>
      </c>
    </row>
    <row r="71">
      <c r="A71">
        <f>IF(Datos!A71="","",Datos!A71)</f>
        <v/>
      </c>
      <c r="B71">
        <f>IF(Datos!A71="","",Datos!B71)</f>
        <v/>
      </c>
      <c r="C71">
        <f>IF(Datos!A71="","",IFERROR(MAX(0,N(Datos!D71)),0))</f>
        <v/>
      </c>
      <c r="D71">
        <f>IF(Datos!A71="","",IFERROR(MAX(0,N(Datos!E71)),0))</f>
        <v/>
      </c>
      <c r="E71">
        <f>IF(Datos!A71="","",IFERROR(MAX(0,N(Datos!F71)),0))</f>
        <v/>
      </c>
      <c r="F71">
        <f>IF(Datos!A71="","",IFERROR(MAX(0,N(Datos!G71)),0))</f>
        <v/>
      </c>
      <c r="G71">
        <f>IF(Datos!A71="","",IFERROR(MAX(0,N(Datos!H71)),0))</f>
        <v/>
      </c>
      <c r="H71">
        <f>IF(Datos!A71="","",IFERROR(MAX(0,N(Datos!I71)),0))</f>
        <v/>
      </c>
      <c r="J71">
        <f>IF(Datos!A71="","",IF(MAX(C$2:C$301)-MIN(C$2:C$301)&lt;0.000000001,0.5,(C71-MIN(C$2:C$301))/(MAX(C$2:C$301)-MIN(C$2:C$301)))+0.000000001)</f>
        <v/>
      </c>
      <c r="K71">
        <f>IF(Datos!A71="","",IF(MAX(D$2:D$301)-MIN(D$2:D$301)&lt;0.000000001,0.5,(D71-MIN(D$2:D$301))/(MAX(D$2:D$301)-MIN(D$2:D$301)))+0.000000001)</f>
        <v/>
      </c>
      <c r="L71">
        <f>IF(Datos!A71="","",IF(MAX(E$2:E$301)-MIN(E$2:E$301)&lt;0.000000001,0.5,(E71-MIN(E$2:E$301))/(MAX(E$2:E$301)-MIN(E$2:E$301)))+0.000000001)</f>
        <v/>
      </c>
      <c r="M71">
        <f>IF(Datos!A71="","",IF(MAX(F$2:F$301)-MIN(F$2:F$301)&lt;0.000000001,0.5,(F71-MIN(F$2:F$301))/(MAX(F$2:F$301)-MIN(F$2:F$301)))+0.000000001)</f>
        <v/>
      </c>
      <c r="N71">
        <f>IF(Datos!A71="","",IF(MAX(G$2:G$301)-MIN(G$2:G$301)&lt;0.000000001,0.5,(G71-MIN(G$2:G$301))/(MAX(G$2:G$301)-MIN(G$2:G$301)))+0.000000001)</f>
        <v/>
      </c>
      <c r="O71">
        <f>IF(Datos!A71="","",IF(MAX(H$2:H$301)-MIN(H$2:H$301)&lt;0.000000001,0.5,(H71-MIN(H$2:H$301))/(MAX(H$2:H$301)-MIN(H$2:H$301)))+0.000000001)</f>
        <v/>
      </c>
      <c r="Q71">
        <f>IF(Datos!A71="","",(J71/SUM(J$2:J$301))*LN(J71/SUM(J$2:J$301)))</f>
        <v/>
      </c>
      <c r="R71">
        <f>IF(Datos!A71="","",(K71/SUM(K$2:K$301))*LN(K71/SUM(K$2:K$301)))</f>
        <v/>
      </c>
      <c r="S71">
        <f>IF(Datos!A71="","",(L71/SUM(L$2:L$301))*LN(L71/SUM(L$2:L$301)))</f>
        <v/>
      </c>
      <c r="T71">
        <f>IF(Datos!A71="","",(M71/SUM(M$2:M$301))*LN(M71/SUM(M$2:M$301)))</f>
        <v/>
      </c>
      <c r="U71">
        <f>IF(Datos!A71="","",(N71/SUM(N$2:N$301))*LN(N71/SUM(N$2:N$301)))</f>
        <v/>
      </c>
      <c r="V71">
        <f>IF(Datos!A71="","",(O71/SUM(O$2:O$301))*LN(O71/SUM(O$2:O$301)))</f>
        <v/>
      </c>
      <c r="X71">
        <f>IF(Datos!A71="","",IF(SUMSQ(C$2:C$301)=0,0,C71/SQRT(SUMSQ(C$2:C$301)))*$BE$2)</f>
        <v/>
      </c>
      <c r="Y71">
        <f>IF(Datos!A71="","",IF(SUMSQ(D$2:D$301)=0,0,D71/SQRT(SUMSQ(D$2:D$301)))*$BE$3)</f>
        <v/>
      </c>
      <c r="Z71">
        <f>IF(Datos!A71="","",IF(SUMSQ(E$2:E$301)=0,0,E71/SQRT(SUMSQ(E$2:E$301)))*$BE$4)</f>
        <v/>
      </c>
      <c r="AA71">
        <f>IF(Datos!A71="","",IF(SUMSQ(F$2:F$301)=0,0,F71/SQRT(SUMSQ(F$2:F$301)))*$BE$5)</f>
        <v/>
      </c>
      <c r="AB71">
        <f>IF(Datos!A71="","",IF(SUMSQ(G$2:G$301)=0,0,G71/SQRT(SUMSQ(G$2:G$301)))*$BE$6)</f>
        <v/>
      </c>
      <c r="AC71">
        <f>IF(Datos!A71="","",IF(SUMSQ(H$2:H$301)=0,0,H71/SQRT(SUMSQ(H$2:H$301)))*$BE$7)</f>
        <v/>
      </c>
      <c r="AE71">
        <f>IF(Datos!A71="","",SQRT(SUMXMY2(X71:AC71,$X$303:$AC$303)))</f>
        <v/>
      </c>
      <c r="AF71">
        <f>IF(Datos!A71="","",SQRT(SUMXMY2(X71:AC71,$X$304:$AC$304)))</f>
        <v/>
      </c>
      <c r="AG71" s="11">
        <f>IF(Datos!A71="","",IF(AE71+AF71&lt;0.000000001,0.5,AF71/(AE71+AF71)))</f>
        <v/>
      </c>
      <c r="AH71">
        <f>IF(Datos!A71="","",AG71*MAX(C71*D71,1))</f>
        <v/>
      </c>
      <c r="AI71">
        <f>IF(Datos!A71="","",SUMIF($AH$2:$AH$301,"&gt;="&amp;AH71,$AH$2:$AH$301)/SUM($AH$2:$AH$301))</f>
        <v/>
      </c>
      <c r="AJ71" s="12">
        <f>IF(Datos!A71="","",IF(AI71&lt;=Parametros!$B$13,"A",IF(AI71&lt;=Parametros!$B$14,"B","C")))</f>
        <v/>
      </c>
      <c r="AK71" s="13">
        <f>IF(Datos!A71="","",VLOOKUP(AJ71,Parametros!$A$8:$C$10,2,FALSE))</f>
        <v/>
      </c>
      <c r="AL71">
        <f>IF(Datos!A71="","",VLOOKUP(AJ71,Parametros!$A$8:$C$10,3,FALSE))</f>
        <v/>
      </c>
      <c r="AM71">
        <f>IF(Datos!A71="","",NORMSINV(AK71))</f>
        <v/>
      </c>
      <c r="AN71">
        <f>IF(Datos!A71="","",D71/Parametros!$B$4)</f>
        <v/>
      </c>
      <c r="AO71">
        <f>IF(Datos!A71="","",MAX(0,ROUNDUP(AM71*(AN71*Parametros!$B$3)*SQRT((AL71+E71)),0)))</f>
        <v/>
      </c>
      <c r="AP71">
        <f>IF(Datos!A71="","",MAX(1,ROUNDUP(AN71*(AL71+E71)+AM71*(AN71*Parametros!$B$3)*SQRT((AL71+E71)),0)))</f>
        <v/>
      </c>
      <c r="AQ71">
        <f>IF(Datos!A71="","",IF(Datos!J71="","",Datos!J71))</f>
        <v/>
      </c>
      <c r="AR71">
        <f>IF(OR(Datos!A71="",AQ71=""),"",MAX(0,AQ71-AP71))</f>
        <v/>
      </c>
      <c r="AS71" s="10">
        <f>IF(OR(Datos!A71="",AQ71=""),"",AR71*C71)</f>
        <v/>
      </c>
      <c r="AT71" s="12">
        <f>IF(OR(Datos!A71="",AQ71=""),"",IF(AQ71&lt;AO71,"SI",""))</f>
        <v/>
      </c>
      <c r="AU71">
        <f>IF(Datos!A71="","",IF(AT71="SI","Reponer ahora",IF(AND(AQ71&lt;&gt;"",AR71&gt;0),"Bajar "&amp;TEXT(AR71,"#,##0")&amp;" un.","En rango")))</f>
        <v/>
      </c>
    </row>
    <row r="72">
      <c r="A72">
        <f>IF(Datos!A72="","",Datos!A72)</f>
        <v/>
      </c>
      <c r="B72">
        <f>IF(Datos!A72="","",Datos!B72)</f>
        <v/>
      </c>
      <c r="C72">
        <f>IF(Datos!A72="","",IFERROR(MAX(0,N(Datos!D72)),0))</f>
        <v/>
      </c>
      <c r="D72">
        <f>IF(Datos!A72="","",IFERROR(MAX(0,N(Datos!E72)),0))</f>
        <v/>
      </c>
      <c r="E72">
        <f>IF(Datos!A72="","",IFERROR(MAX(0,N(Datos!F72)),0))</f>
        <v/>
      </c>
      <c r="F72">
        <f>IF(Datos!A72="","",IFERROR(MAX(0,N(Datos!G72)),0))</f>
        <v/>
      </c>
      <c r="G72">
        <f>IF(Datos!A72="","",IFERROR(MAX(0,N(Datos!H72)),0))</f>
        <v/>
      </c>
      <c r="H72">
        <f>IF(Datos!A72="","",IFERROR(MAX(0,N(Datos!I72)),0))</f>
        <v/>
      </c>
      <c r="J72">
        <f>IF(Datos!A72="","",IF(MAX(C$2:C$301)-MIN(C$2:C$301)&lt;0.000000001,0.5,(C72-MIN(C$2:C$301))/(MAX(C$2:C$301)-MIN(C$2:C$301)))+0.000000001)</f>
        <v/>
      </c>
      <c r="K72">
        <f>IF(Datos!A72="","",IF(MAX(D$2:D$301)-MIN(D$2:D$301)&lt;0.000000001,0.5,(D72-MIN(D$2:D$301))/(MAX(D$2:D$301)-MIN(D$2:D$301)))+0.000000001)</f>
        <v/>
      </c>
      <c r="L72">
        <f>IF(Datos!A72="","",IF(MAX(E$2:E$301)-MIN(E$2:E$301)&lt;0.000000001,0.5,(E72-MIN(E$2:E$301))/(MAX(E$2:E$301)-MIN(E$2:E$301)))+0.000000001)</f>
        <v/>
      </c>
      <c r="M72">
        <f>IF(Datos!A72="","",IF(MAX(F$2:F$301)-MIN(F$2:F$301)&lt;0.000000001,0.5,(F72-MIN(F$2:F$301))/(MAX(F$2:F$301)-MIN(F$2:F$301)))+0.000000001)</f>
        <v/>
      </c>
      <c r="N72">
        <f>IF(Datos!A72="","",IF(MAX(G$2:G$301)-MIN(G$2:G$301)&lt;0.000000001,0.5,(G72-MIN(G$2:G$301))/(MAX(G$2:G$301)-MIN(G$2:G$301)))+0.000000001)</f>
        <v/>
      </c>
      <c r="O72">
        <f>IF(Datos!A72="","",IF(MAX(H$2:H$301)-MIN(H$2:H$301)&lt;0.000000001,0.5,(H72-MIN(H$2:H$301))/(MAX(H$2:H$301)-MIN(H$2:H$301)))+0.000000001)</f>
        <v/>
      </c>
      <c r="Q72">
        <f>IF(Datos!A72="","",(J72/SUM(J$2:J$301))*LN(J72/SUM(J$2:J$301)))</f>
        <v/>
      </c>
      <c r="R72">
        <f>IF(Datos!A72="","",(K72/SUM(K$2:K$301))*LN(K72/SUM(K$2:K$301)))</f>
        <v/>
      </c>
      <c r="S72">
        <f>IF(Datos!A72="","",(L72/SUM(L$2:L$301))*LN(L72/SUM(L$2:L$301)))</f>
        <v/>
      </c>
      <c r="T72">
        <f>IF(Datos!A72="","",(M72/SUM(M$2:M$301))*LN(M72/SUM(M$2:M$301)))</f>
        <v/>
      </c>
      <c r="U72">
        <f>IF(Datos!A72="","",(N72/SUM(N$2:N$301))*LN(N72/SUM(N$2:N$301)))</f>
        <v/>
      </c>
      <c r="V72">
        <f>IF(Datos!A72="","",(O72/SUM(O$2:O$301))*LN(O72/SUM(O$2:O$301)))</f>
        <v/>
      </c>
      <c r="X72">
        <f>IF(Datos!A72="","",IF(SUMSQ(C$2:C$301)=0,0,C72/SQRT(SUMSQ(C$2:C$301)))*$BE$2)</f>
        <v/>
      </c>
      <c r="Y72">
        <f>IF(Datos!A72="","",IF(SUMSQ(D$2:D$301)=0,0,D72/SQRT(SUMSQ(D$2:D$301)))*$BE$3)</f>
        <v/>
      </c>
      <c r="Z72">
        <f>IF(Datos!A72="","",IF(SUMSQ(E$2:E$301)=0,0,E72/SQRT(SUMSQ(E$2:E$301)))*$BE$4)</f>
        <v/>
      </c>
      <c r="AA72">
        <f>IF(Datos!A72="","",IF(SUMSQ(F$2:F$301)=0,0,F72/SQRT(SUMSQ(F$2:F$301)))*$BE$5)</f>
        <v/>
      </c>
      <c r="AB72">
        <f>IF(Datos!A72="","",IF(SUMSQ(G$2:G$301)=0,0,G72/SQRT(SUMSQ(G$2:G$301)))*$BE$6)</f>
        <v/>
      </c>
      <c r="AC72">
        <f>IF(Datos!A72="","",IF(SUMSQ(H$2:H$301)=0,0,H72/SQRT(SUMSQ(H$2:H$301)))*$BE$7)</f>
        <v/>
      </c>
      <c r="AE72">
        <f>IF(Datos!A72="","",SQRT(SUMXMY2(X72:AC72,$X$303:$AC$303)))</f>
        <v/>
      </c>
      <c r="AF72">
        <f>IF(Datos!A72="","",SQRT(SUMXMY2(X72:AC72,$X$304:$AC$304)))</f>
        <v/>
      </c>
      <c r="AG72" s="11">
        <f>IF(Datos!A72="","",IF(AE72+AF72&lt;0.000000001,0.5,AF72/(AE72+AF72)))</f>
        <v/>
      </c>
      <c r="AH72">
        <f>IF(Datos!A72="","",AG72*MAX(C72*D72,1))</f>
        <v/>
      </c>
      <c r="AI72">
        <f>IF(Datos!A72="","",SUMIF($AH$2:$AH$301,"&gt;="&amp;AH72,$AH$2:$AH$301)/SUM($AH$2:$AH$301))</f>
        <v/>
      </c>
      <c r="AJ72" s="12">
        <f>IF(Datos!A72="","",IF(AI72&lt;=Parametros!$B$13,"A",IF(AI72&lt;=Parametros!$B$14,"B","C")))</f>
        <v/>
      </c>
      <c r="AK72" s="13">
        <f>IF(Datos!A72="","",VLOOKUP(AJ72,Parametros!$A$8:$C$10,2,FALSE))</f>
        <v/>
      </c>
      <c r="AL72">
        <f>IF(Datos!A72="","",VLOOKUP(AJ72,Parametros!$A$8:$C$10,3,FALSE))</f>
        <v/>
      </c>
      <c r="AM72">
        <f>IF(Datos!A72="","",NORMSINV(AK72))</f>
        <v/>
      </c>
      <c r="AN72">
        <f>IF(Datos!A72="","",D72/Parametros!$B$4)</f>
        <v/>
      </c>
      <c r="AO72">
        <f>IF(Datos!A72="","",MAX(0,ROUNDUP(AM72*(AN72*Parametros!$B$3)*SQRT((AL72+E72)),0)))</f>
        <v/>
      </c>
      <c r="AP72">
        <f>IF(Datos!A72="","",MAX(1,ROUNDUP(AN72*(AL72+E72)+AM72*(AN72*Parametros!$B$3)*SQRT((AL72+E72)),0)))</f>
        <v/>
      </c>
      <c r="AQ72">
        <f>IF(Datos!A72="","",IF(Datos!J72="","",Datos!J72))</f>
        <v/>
      </c>
      <c r="AR72">
        <f>IF(OR(Datos!A72="",AQ72=""),"",MAX(0,AQ72-AP72))</f>
        <v/>
      </c>
      <c r="AS72" s="10">
        <f>IF(OR(Datos!A72="",AQ72=""),"",AR72*C72)</f>
        <v/>
      </c>
      <c r="AT72" s="12">
        <f>IF(OR(Datos!A72="",AQ72=""),"",IF(AQ72&lt;AO72,"SI",""))</f>
        <v/>
      </c>
      <c r="AU72">
        <f>IF(Datos!A72="","",IF(AT72="SI","Reponer ahora",IF(AND(AQ72&lt;&gt;"",AR72&gt;0),"Bajar "&amp;TEXT(AR72,"#,##0")&amp;" un.","En rango")))</f>
        <v/>
      </c>
    </row>
    <row r="73">
      <c r="A73">
        <f>IF(Datos!A73="","",Datos!A73)</f>
        <v/>
      </c>
      <c r="B73">
        <f>IF(Datos!A73="","",Datos!B73)</f>
        <v/>
      </c>
      <c r="C73">
        <f>IF(Datos!A73="","",IFERROR(MAX(0,N(Datos!D73)),0))</f>
        <v/>
      </c>
      <c r="D73">
        <f>IF(Datos!A73="","",IFERROR(MAX(0,N(Datos!E73)),0))</f>
        <v/>
      </c>
      <c r="E73">
        <f>IF(Datos!A73="","",IFERROR(MAX(0,N(Datos!F73)),0))</f>
        <v/>
      </c>
      <c r="F73">
        <f>IF(Datos!A73="","",IFERROR(MAX(0,N(Datos!G73)),0))</f>
        <v/>
      </c>
      <c r="G73">
        <f>IF(Datos!A73="","",IFERROR(MAX(0,N(Datos!H73)),0))</f>
        <v/>
      </c>
      <c r="H73">
        <f>IF(Datos!A73="","",IFERROR(MAX(0,N(Datos!I73)),0))</f>
        <v/>
      </c>
      <c r="J73">
        <f>IF(Datos!A73="","",IF(MAX(C$2:C$301)-MIN(C$2:C$301)&lt;0.000000001,0.5,(C73-MIN(C$2:C$301))/(MAX(C$2:C$301)-MIN(C$2:C$301)))+0.000000001)</f>
        <v/>
      </c>
      <c r="K73">
        <f>IF(Datos!A73="","",IF(MAX(D$2:D$301)-MIN(D$2:D$301)&lt;0.000000001,0.5,(D73-MIN(D$2:D$301))/(MAX(D$2:D$301)-MIN(D$2:D$301)))+0.000000001)</f>
        <v/>
      </c>
      <c r="L73">
        <f>IF(Datos!A73="","",IF(MAX(E$2:E$301)-MIN(E$2:E$301)&lt;0.000000001,0.5,(E73-MIN(E$2:E$301))/(MAX(E$2:E$301)-MIN(E$2:E$301)))+0.000000001)</f>
        <v/>
      </c>
      <c r="M73">
        <f>IF(Datos!A73="","",IF(MAX(F$2:F$301)-MIN(F$2:F$301)&lt;0.000000001,0.5,(F73-MIN(F$2:F$301))/(MAX(F$2:F$301)-MIN(F$2:F$301)))+0.000000001)</f>
        <v/>
      </c>
      <c r="N73">
        <f>IF(Datos!A73="","",IF(MAX(G$2:G$301)-MIN(G$2:G$301)&lt;0.000000001,0.5,(G73-MIN(G$2:G$301))/(MAX(G$2:G$301)-MIN(G$2:G$301)))+0.000000001)</f>
        <v/>
      </c>
      <c r="O73">
        <f>IF(Datos!A73="","",IF(MAX(H$2:H$301)-MIN(H$2:H$301)&lt;0.000000001,0.5,(H73-MIN(H$2:H$301))/(MAX(H$2:H$301)-MIN(H$2:H$301)))+0.000000001)</f>
        <v/>
      </c>
      <c r="Q73">
        <f>IF(Datos!A73="","",(J73/SUM(J$2:J$301))*LN(J73/SUM(J$2:J$301)))</f>
        <v/>
      </c>
      <c r="R73">
        <f>IF(Datos!A73="","",(K73/SUM(K$2:K$301))*LN(K73/SUM(K$2:K$301)))</f>
        <v/>
      </c>
      <c r="S73">
        <f>IF(Datos!A73="","",(L73/SUM(L$2:L$301))*LN(L73/SUM(L$2:L$301)))</f>
        <v/>
      </c>
      <c r="T73">
        <f>IF(Datos!A73="","",(M73/SUM(M$2:M$301))*LN(M73/SUM(M$2:M$301)))</f>
        <v/>
      </c>
      <c r="U73">
        <f>IF(Datos!A73="","",(N73/SUM(N$2:N$301))*LN(N73/SUM(N$2:N$301)))</f>
        <v/>
      </c>
      <c r="V73">
        <f>IF(Datos!A73="","",(O73/SUM(O$2:O$301))*LN(O73/SUM(O$2:O$301)))</f>
        <v/>
      </c>
      <c r="X73">
        <f>IF(Datos!A73="","",IF(SUMSQ(C$2:C$301)=0,0,C73/SQRT(SUMSQ(C$2:C$301)))*$BE$2)</f>
        <v/>
      </c>
      <c r="Y73">
        <f>IF(Datos!A73="","",IF(SUMSQ(D$2:D$301)=0,0,D73/SQRT(SUMSQ(D$2:D$301)))*$BE$3)</f>
        <v/>
      </c>
      <c r="Z73">
        <f>IF(Datos!A73="","",IF(SUMSQ(E$2:E$301)=0,0,E73/SQRT(SUMSQ(E$2:E$301)))*$BE$4)</f>
        <v/>
      </c>
      <c r="AA73">
        <f>IF(Datos!A73="","",IF(SUMSQ(F$2:F$301)=0,0,F73/SQRT(SUMSQ(F$2:F$301)))*$BE$5)</f>
        <v/>
      </c>
      <c r="AB73">
        <f>IF(Datos!A73="","",IF(SUMSQ(G$2:G$301)=0,0,G73/SQRT(SUMSQ(G$2:G$301)))*$BE$6)</f>
        <v/>
      </c>
      <c r="AC73">
        <f>IF(Datos!A73="","",IF(SUMSQ(H$2:H$301)=0,0,H73/SQRT(SUMSQ(H$2:H$301)))*$BE$7)</f>
        <v/>
      </c>
      <c r="AE73">
        <f>IF(Datos!A73="","",SQRT(SUMXMY2(X73:AC73,$X$303:$AC$303)))</f>
        <v/>
      </c>
      <c r="AF73">
        <f>IF(Datos!A73="","",SQRT(SUMXMY2(X73:AC73,$X$304:$AC$304)))</f>
        <v/>
      </c>
      <c r="AG73" s="11">
        <f>IF(Datos!A73="","",IF(AE73+AF73&lt;0.000000001,0.5,AF73/(AE73+AF73)))</f>
        <v/>
      </c>
      <c r="AH73">
        <f>IF(Datos!A73="","",AG73*MAX(C73*D73,1))</f>
        <v/>
      </c>
      <c r="AI73">
        <f>IF(Datos!A73="","",SUMIF($AH$2:$AH$301,"&gt;="&amp;AH73,$AH$2:$AH$301)/SUM($AH$2:$AH$301))</f>
        <v/>
      </c>
      <c r="AJ73" s="12">
        <f>IF(Datos!A73="","",IF(AI73&lt;=Parametros!$B$13,"A",IF(AI73&lt;=Parametros!$B$14,"B","C")))</f>
        <v/>
      </c>
      <c r="AK73" s="13">
        <f>IF(Datos!A73="","",VLOOKUP(AJ73,Parametros!$A$8:$C$10,2,FALSE))</f>
        <v/>
      </c>
      <c r="AL73">
        <f>IF(Datos!A73="","",VLOOKUP(AJ73,Parametros!$A$8:$C$10,3,FALSE))</f>
        <v/>
      </c>
      <c r="AM73">
        <f>IF(Datos!A73="","",NORMSINV(AK73))</f>
        <v/>
      </c>
      <c r="AN73">
        <f>IF(Datos!A73="","",D73/Parametros!$B$4)</f>
        <v/>
      </c>
      <c r="AO73">
        <f>IF(Datos!A73="","",MAX(0,ROUNDUP(AM73*(AN73*Parametros!$B$3)*SQRT((AL73+E73)),0)))</f>
        <v/>
      </c>
      <c r="AP73">
        <f>IF(Datos!A73="","",MAX(1,ROUNDUP(AN73*(AL73+E73)+AM73*(AN73*Parametros!$B$3)*SQRT((AL73+E73)),0)))</f>
        <v/>
      </c>
      <c r="AQ73">
        <f>IF(Datos!A73="","",IF(Datos!J73="","",Datos!J73))</f>
        <v/>
      </c>
      <c r="AR73">
        <f>IF(OR(Datos!A73="",AQ73=""),"",MAX(0,AQ73-AP73))</f>
        <v/>
      </c>
      <c r="AS73" s="10">
        <f>IF(OR(Datos!A73="",AQ73=""),"",AR73*C73)</f>
        <v/>
      </c>
      <c r="AT73" s="12">
        <f>IF(OR(Datos!A73="",AQ73=""),"",IF(AQ73&lt;AO73,"SI",""))</f>
        <v/>
      </c>
      <c r="AU73">
        <f>IF(Datos!A73="","",IF(AT73="SI","Reponer ahora",IF(AND(AQ73&lt;&gt;"",AR73&gt;0),"Bajar "&amp;TEXT(AR73,"#,##0")&amp;" un.","En rango")))</f>
        <v/>
      </c>
    </row>
    <row r="74">
      <c r="A74">
        <f>IF(Datos!A74="","",Datos!A74)</f>
        <v/>
      </c>
      <c r="B74">
        <f>IF(Datos!A74="","",Datos!B74)</f>
        <v/>
      </c>
      <c r="C74">
        <f>IF(Datos!A74="","",IFERROR(MAX(0,N(Datos!D74)),0))</f>
        <v/>
      </c>
      <c r="D74">
        <f>IF(Datos!A74="","",IFERROR(MAX(0,N(Datos!E74)),0))</f>
        <v/>
      </c>
      <c r="E74">
        <f>IF(Datos!A74="","",IFERROR(MAX(0,N(Datos!F74)),0))</f>
        <v/>
      </c>
      <c r="F74">
        <f>IF(Datos!A74="","",IFERROR(MAX(0,N(Datos!G74)),0))</f>
        <v/>
      </c>
      <c r="G74">
        <f>IF(Datos!A74="","",IFERROR(MAX(0,N(Datos!H74)),0))</f>
        <v/>
      </c>
      <c r="H74">
        <f>IF(Datos!A74="","",IFERROR(MAX(0,N(Datos!I74)),0))</f>
        <v/>
      </c>
      <c r="J74">
        <f>IF(Datos!A74="","",IF(MAX(C$2:C$301)-MIN(C$2:C$301)&lt;0.000000001,0.5,(C74-MIN(C$2:C$301))/(MAX(C$2:C$301)-MIN(C$2:C$301)))+0.000000001)</f>
        <v/>
      </c>
      <c r="K74">
        <f>IF(Datos!A74="","",IF(MAX(D$2:D$301)-MIN(D$2:D$301)&lt;0.000000001,0.5,(D74-MIN(D$2:D$301))/(MAX(D$2:D$301)-MIN(D$2:D$301)))+0.000000001)</f>
        <v/>
      </c>
      <c r="L74">
        <f>IF(Datos!A74="","",IF(MAX(E$2:E$301)-MIN(E$2:E$301)&lt;0.000000001,0.5,(E74-MIN(E$2:E$301))/(MAX(E$2:E$301)-MIN(E$2:E$301)))+0.000000001)</f>
        <v/>
      </c>
      <c r="M74">
        <f>IF(Datos!A74="","",IF(MAX(F$2:F$301)-MIN(F$2:F$301)&lt;0.000000001,0.5,(F74-MIN(F$2:F$301))/(MAX(F$2:F$301)-MIN(F$2:F$301)))+0.000000001)</f>
        <v/>
      </c>
      <c r="N74">
        <f>IF(Datos!A74="","",IF(MAX(G$2:G$301)-MIN(G$2:G$301)&lt;0.000000001,0.5,(G74-MIN(G$2:G$301))/(MAX(G$2:G$301)-MIN(G$2:G$301)))+0.000000001)</f>
        <v/>
      </c>
      <c r="O74">
        <f>IF(Datos!A74="","",IF(MAX(H$2:H$301)-MIN(H$2:H$301)&lt;0.000000001,0.5,(H74-MIN(H$2:H$301))/(MAX(H$2:H$301)-MIN(H$2:H$301)))+0.000000001)</f>
        <v/>
      </c>
      <c r="Q74">
        <f>IF(Datos!A74="","",(J74/SUM(J$2:J$301))*LN(J74/SUM(J$2:J$301)))</f>
        <v/>
      </c>
      <c r="R74">
        <f>IF(Datos!A74="","",(K74/SUM(K$2:K$301))*LN(K74/SUM(K$2:K$301)))</f>
        <v/>
      </c>
      <c r="S74">
        <f>IF(Datos!A74="","",(L74/SUM(L$2:L$301))*LN(L74/SUM(L$2:L$301)))</f>
        <v/>
      </c>
      <c r="T74">
        <f>IF(Datos!A74="","",(M74/SUM(M$2:M$301))*LN(M74/SUM(M$2:M$301)))</f>
        <v/>
      </c>
      <c r="U74">
        <f>IF(Datos!A74="","",(N74/SUM(N$2:N$301))*LN(N74/SUM(N$2:N$301)))</f>
        <v/>
      </c>
      <c r="V74">
        <f>IF(Datos!A74="","",(O74/SUM(O$2:O$301))*LN(O74/SUM(O$2:O$301)))</f>
        <v/>
      </c>
      <c r="X74">
        <f>IF(Datos!A74="","",IF(SUMSQ(C$2:C$301)=0,0,C74/SQRT(SUMSQ(C$2:C$301)))*$BE$2)</f>
        <v/>
      </c>
      <c r="Y74">
        <f>IF(Datos!A74="","",IF(SUMSQ(D$2:D$301)=0,0,D74/SQRT(SUMSQ(D$2:D$301)))*$BE$3)</f>
        <v/>
      </c>
      <c r="Z74">
        <f>IF(Datos!A74="","",IF(SUMSQ(E$2:E$301)=0,0,E74/SQRT(SUMSQ(E$2:E$301)))*$BE$4)</f>
        <v/>
      </c>
      <c r="AA74">
        <f>IF(Datos!A74="","",IF(SUMSQ(F$2:F$301)=0,0,F74/SQRT(SUMSQ(F$2:F$301)))*$BE$5)</f>
        <v/>
      </c>
      <c r="AB74">
        <f>IF(Datos!A74="","",IF(SUMSQ(G$2:G$301)=0,0,G74/SQRT(SUMSQ(G$2:G$301)))*$BE$6)</f>
        <v/>
      </c>
      <c r="AC74">
        <f>IF(Datos!A74="","",IF(SUMSQ(H$2:H$301)=0,0,H74/SQRT(SUMSQ(H$2:H$301)))*$BE$7)</f>
        <v/>
      </c>
      <c r="AE74">
        <f>IF(Datos!A74="","",SQRT(SUMXMY2(X74:AC74,$X$303:$AC$303)))</f>
        <v/>
      </c>
      <c r="AF74">
        <f>IF(Datos!A74="","",SQRT(SUMXMY2(X74:AC74,$X$304:$AC$304)))</f>
        <v/>
      </c>
      <c r="AG74" s="11">
        <f>IF(Datos!A74="","",IF(AE74+AF74&lt;0.000000001,0.5,AF74/(AE74+AF74)))</f>
        <v/>
      </c>
      <c r="AH74">
        <f>IF(Datos!A74="","",AG74*MAX(C74*D74,1))</f>
        <v/>
      </c>
      <c r="AI74">
        <f>IF(Datos!A74="","",SUMIF($AH$2:$AH$301,"&gt;="&amp;AH74,$AH$2:$AH$301)/SUM($AH$2:$AH$301))</f>
        <v/>
      </c>
      <c r="AJ74" s="12">
        <f>IF(Datos!A74="","",IF(AI74&lt;=Parametros!$B$13,"A",IF(AI74&lt;=Parametros!$B$14,"B","C")))</f>
        <v/>
      </c>
      <c r="AK74" s="13">
        <f>IF(Datos!A74="","",VLOOKUP(AJ74,Parametros!$A$8:$C$10,2,FALSE))</f>
        <v/>
      </c>
      <c r="AL74">
        <f>IF(Datos!A74="","",VLOOKUP(AJ74,Parametros!$A$8:$C$10,3,FALSE))</f>
        <v/>
      </c>
      <c r="AM74">
        <f>IF(Datos!A74="","",NORMSINV(AK74))</f>
        <v/>
      </c>
      <c r="AN74">
        <f>IF(Datos!A74="","",D74/Parametros!$B$4)</f>
        <v/>
      </c>
      <c r="AO74">
        <f>IF(Datos!A74="","",MAX(0,ROUNDUP(AM74*(AN74*Parametros!$B$3)*SQRT((AL74+E74)),0)))</f>
        <v/>
      </c>
      <c r="AP74">
        <f>IF(Datos!A74="","",MAX(1,ROUNDUP(AN74*(AL74+E74)+AM74*(AN74*Parametros!$B$3)*SQRT((AL74+E74)),0)))</f>
        <v/>
      </c>
      <c r="AQ74">
        <f>IF(Datos!A74="","",IF(Datos!J74="","",Datos!J74))</f>
        <v/>
      </c>
      <c r="AR74">
        <f>IF(OR(Datos!A74="",AQ74=""),"",MAX(0,AQ74-AP74))</f>
        <v/>
      </c>
      <c r="AS74" s="10">
        <f>IF(OR(Datos!A74="",AQ74=""),"",AR74*C74)</f>
        <v/>
      </c>
      <c r="AT74" s="12">
        <f>IF(OR(Datos!A74="",AQ74=""),"",IF(AQ74&lt;AO74,"SI",""))</f>
        <v/>
      </c>
      <c r="AU74">
        <f>IF(Datos!A74="","",IF(AT74="SI","Reponer ahora",IF(AND(AQ74&lt;&gt;"",AR74&gt;0),"Bajar "&amp;TEXT(AR74,"#,##0")&amp;" un.","En rango")))</f>
        <v/>
      </c>
    </row>
    <row r="75">
      <c r="A75">
        <f>IF(Datos!A75="","",Datos!A75)</f>
        <v/>
      </c>
      <c r="B75">
        <f>IF(Datos!A75="","",Datos!B75)</f>
        <v/>
      </c>
      <c r="C75">
        <f>IF(Datos!A75="","",IFERROR(MAX(0,N(Datos!D75)),0))</f>
        <v/>
      </c>
      <c r="D75">
        <f>IF(Datos!A75="","",IFERROR(MAX(0,N(Datos!E75)),0))</f>
        <v/>
      </c>
      <c r="E75">
        <f>IF(Datos!A75="","",IFERROR(MAX(0,N(Datos!F75)),0))</f>
        <v/>
      </c>
      <c r="F75">
        <f>IF(Datos!A75="","",IFERROR(MAX(0,N(Datos!G75)),0))</f>
        <v/>
      </c>
      <c r="G75">
        <f>IF(Datos!A75="","",IFERROR(MAX(0,N(Datos!H75)),0))</f>
        <v/>
      </c>
      <c r="H75">
        <f>IF(Datos!A75="","",IFERROR(MAX(0,N(Datos!I75)),0))</f>
        <v/>
      </c>
      <c r="J75">
        <f>IF(Datos!A75="","",IF(MAX(C$2:C$301)-MIN(C$2:C$301)&lt;0.000000001,0.5,(C75-MIN(C$2:C$301))/(MAX(C$2:C$301)-MIN(C$2:C$301)))+0.000000001)</f>
        <v/>
      </c>
      <c r="K75">
        <f>IF(Datos!A75="","",IF(MAX(D$2:D$301)-MIN(D$2:D$301)&lt;0.000000001,0.5,(D75-MIN(D$2:D$301))/(MAX(D$2:D$301)-MIN(D$2:D$301)))+0.000000001)</f>
        <v/>
      </c>
      <c r="L75">
        <f>IF(Datos!A75="","",IF(MAX(E$2:E$301)-MIN(E$2:E$301)&lt;0.000000001,0.5,(E75-MIN(E$2:E$301))/(MAX(E$2:E$301)-MIN(E$2:E$301)))+0.000000001)</f>
        <v/>
      </c>
      <c r="M75">
        <f>IF(Datos!A75="","",IF(MAX(F$2:F$301)-MIN(F$2:F$301)&lt;0.000000001,0.5,(F75-MIN(F$2:F$301))/(MAX(F$2:F$301)-MIN(F$2:F$301)))+0.000000001)</f>
        <v/>
      </c>
      <c r="N75">
        <f>IF(Datos!A75="","",IF(MAX(G$2:G$301)-MIN(G$2:G$301)&lt;0.000000001,0.5,(G75-MIN(G$2:G$301))/(MAX(G$2:G$301)-MIN(G$2:G$301)))+0.000000001)</f>
        <v/>
      </c>
      <c r="O75">
        <f>IF(Datos!A75="","",IF(MAX(H$2:H$301)-MIN(H$2:H$301)&lt;0.000000001,0.5,(H75-MIN(H$2:H$301))/(MAX(H$2:H$301)-MIN(H$2:H$301)))+0.000000001)</f>
        <v/>
      </c>
      <c r="Q75">
        <f>IF(Datos!A75="","",(J75/SUM(J$2:J$301))*LN(J75/SUM(J$2:J$301)))</f>
        <v/>
      </c>
      <c r="R75">
        <f>IF(Datos!A75="","",(K75/SUM(K$2:K$301))*LN(K75/SUM(K$2:K$301)))</f>
        <v/>
      </c>
      <c r="S75">
        <f>IF(Datos!A75="","",(L75/SUM(L$2:L$301))*LN(L75/SUM(L$2:L$301)))</f>
        <v/>
      </c>
      <c r="T75">
        <f>IF(Datos!A75="","",(M75/SUM(M$2:M$301))*LN(M75/SUM(M$2:M$301)))</f>
        <v/>
      </c>
      <c r="U75">
        <f>IF(Datos!A75="","",(N75/SUM(N$2:N$301))*LN(N75/SUM(N$2:N$301)))</f>
        <v/>
      </c>
      <c r="V75">
        <f>IF(Datos!A75="","",(O75/SUM(O$2:O$301))*LN(O75/SUM(O$2:O$301)))</f>
        <v/>
      </c>
      <c r="X75">
        <f>IF(Datos!A75="","",IF(SUMSQ(C$2:C$301)=0,0,C75/SQRT(SUMSQ(C$2:C$301)))*$BE$2)</f>
        <v/>
      </c>
      <c r="Y75">
        <f>IF(Datos!A75="","",IF(SUMSQ(D$2:D$301)=0,0,D75/SQRT(SUMSQ(D$2:D$301)))*$BE$3)</f>
        <v/>
      </c>
      <c r="Z75">
        <f>IF(Datos!A75="","",IF(SUMSQ(E$2:E$301)=0,0,E75/SQRT(SUMSQ(E$2:E$301)))*$BE$4)</f>
        <v/>
      </c>
      <c r="AA75">
        <f>IF(Datos!A75="","",IF(SUMSQ(F$2:F$301)=0,0,F75/SQRT(SUMSQ(F$2:F$301)))*$BE$5)</f>
        <v/>
      </c>
      <c r="AB75">
        <f>IF(Datos!A75="","",IF(SUMSQ(G$2:G$301)=0,0,G75/SQRT(SUMSQ(G$2:G$301)))*$BE$6)</f>
        <v/>
      </c>
      <c r="AC75">
        <f>IF(Datos!A75="","",IF(SUMSQ(H$2:H$301)=0,0,H75/SQRT(SUMSQ(H$2:H$301)))*$BE$7)</f>
        <v/>
      </c>
      <c r="AE75">
        <f>IF(Datos!A75="","",SQRT(SUMXMY2(X75:AC75,$X$303:$AC$303)))</f>
        <v/>
      </c>
      <c r="AF75">
        <f>IF(Datos!A75="","",SQRT(SUMXMY2(X75:AC75,$X$304:$AC$304)))</f>
        <v/>
      </c>
      <c r="AG75" s="11">
        <f>IF(Datos!A75="","",IF(AE75+AF75&lt;0.000000001,0.5,AF75/(AE75+AF75)))</f>
        <v/>
      </c>
      <c r="AH75">
        <f>IF(Datos!A75="","",AG75*MAX(C75*D75,1))</f>
        <v/>
      </c>
      <c r="AI75">
        <f>IF(Datos!A75="","",SUMIF($AH$2:$AH$301,"&gt;="&amp;AH75,$AH$2:$AH$301)/SUM($AH$2:$AH$301))</f>
        <v/>
      </c>
      <c r="AJ75" s="12">
        <f>IF(Datos!A75="","",IF(AI75&lt;=Parametros!$B$13,"A",IF(AI75&lt;=Parametros!$B$14,"B","C")))</f>
        <v/>
      </c>
      <c r="AK75" s="13">
        <f>IF(Datos!A75="","",VLOOKUP(AJ75,Parametros!$A$8:$C$10,2,FALSE))</f>
        <v/>
      </c>
      <c r="AL75">
        <f>IF(Datos!A75="","",VLOOKUP(AJ75,Parametros!$A$8:$C$10,3,FALSE))</f>
        <v/>
      </c>
      <c r="AM75">
        <f>IF(Datos!A75="","",NORMSINV(AK75))</f>
        <v/>
      </c>
      <c r="AN75">
        <f>IF(Datos!A75="","",D75/Parametros!$B$4)</f>
        <v/>
      </c>
      <c r="AO75">
        <f>IF(Datos!A75="","",MAX(0,ROUNDUP(AM75*(AN75*Parametros!$B$3)*SQRT((AL75+E75)),0)))</f>
        <v/>
      </c>
      <c r="AP75">
        <f>IF(Datos!A75="","",MAX(1,ROUNDUP(AN75*(AL75+E75)+AM75*(AN75*Parametros!$B$3)*SQRT((AL75+E75)),0)))</f>
        <v/>
      </c>
      <c r="AQ75">
        <f>IF(Datos!A75="","",IF(Datos!J75="","",Datos!J75))</f>
        <v/>
      </c>
      <c r="AR75">
        <f>IF(OR(Datos!A75="",AQ75=""),"",MAX(0,AQ75-AP75))</f>
        <v/>
      </c>
      <c r="AS75" s="10">
        <f>IF(OR(Datos!A75="",AQ75=""),"",AR75*C75)</f>
        <v/>
      </c>
      <c r="AT75" s="12">
        <f>IF(OR(Datos!A75="",AQ75=""),"",IF(AQ75&lt;AO75,"SI",""))</f>
        <v/>
      </c>
      <c r="AU75">
        <f>IF(Datos!A75="","",IF(AT75="SI","Reponer ahora",IF(AND(AQ75&lt;&gt;"",AR75&gt;0),"Bajar "&amp;TEXT(AR75,"#,##0")&amp;" un.","En rango")))</f>
        <v/>
      </c>
    </row>
    <row r="76">
      <c r="A76">
        <f>IF(Datos!A76="","",Datos!A76)</f>
        <v/>
      </c>
      <c r="B76">
        <f>IF(Datos!A76="","",Datos!B76)</f>
        <v/>
      </c>
      <c r="C76">
        <f>IF(Datos!A76="","",IFERROR(MAX(0,N(Datos!D76)),0))</f>
        <v/>
      </c>
      <c r="D76">
        <f>IF(Datos!A76="","",IFERROR(MAX(0,N(Datos!E76)),0))</f>
        <v/>
      </c>
      <c r="E76">
        <f>IF(Datos!A76="","",IFERROR(MAX(0,N(Datos!F76)),0))</f>
        <v/>
      </c>
      <c r="F76">
        <f>IF(Datos!A76="","",IFERROR(MAX(0,N(Datos!G76)),0))</f>
        <v/>
      </c>
      <c r="G76">
        <f>IF(Datos!A76="","",IFERROR(MAX(0,N(Datos!H76)),0))</f>
        <v/>
      </c>
      <c r="H76">
        <f>IF(Datos!A76="","",IFERROR(MAX(0,N(Datos!I76)),0))</f>
        <v/>
      </c>
      <c r="J76">
        <f>IF(Datos!A76="","",IF(MAX(C$2:C$301)-MIN(C$2:C$301)&lt;0.000000001,0.5,(C76-MIN(C$2:C$301))/(MAX(C$2:C$301)-MIN(C$2:C$301)))+0.000000001)</f>
        <v/>
      </c>
      <c r="K76">
        <f>IF(Datos!A76="","",IF(MAX(D$2:D$301)-MIN(D$2:D$301)&lt;0.000000001,0.5,(D76-MIN(D$2:D$301))/(MAX(D$2:D$301)-MIN(D$2:D$301)))+0.000000001)</f>
        <v/>
      </c>
      <c r="L76">
        <f>IF(Datos!A76="","",IF(MAX(E$2:E$301)-MIN(E$2:E$301)&lt;0.000000001,0.5,(E76-MIN(E$2:E$301))/(MAX(E$2:E$301)-MIN(E$2:E$301)))+0.000000001)</f>
        <v/>
      </c>
      <c r="M76">
        <f>IF(Datos!A76="","",IF(MAX(F$2:F$301)-MIN(F$2:F$301)&lt;0.000000001,0.5,(F76-MIN(F$2:F$301))/(MAX(F$2:F$301)-MIN(F$2:F$301)))+0.000000001)</f>
        <v/>
      </c>
      <c r="N76">
        <f>IF(Datos!A76="","",IF(MAX(G$2:G$301)-MIN(G$2:G$301)&lt;0.000000001,0.5,(G76-MIN(G$2:G$301))/(MAX(G$2:G$301)-MIN(G$2:G$301)))+0.000000001)</f>
        <v/>
      </c>
      <c r="O76">
        <f>IF(Datos!A76="","",IF(MAX(H$2:H$301)-MIN(H$2:H$301)&lt;0.000000001,0.5,(H76-MIN(H$2:H$301))/(MAX(H$2:H$301)-MIN(H$2:H$301)))+0.000000001)</f>
        <v/>
      </c>
      <c r="Q76">
        <f>IF(Datos!A76="","",(J76/SUM(J$2:J$301))*LN(J76/SUM(J$2:J$301)))</f>
        <v/>
      </c>
      <c r="R76">
        <f>IF(Datos!A76="","",(K76/SUM(K$2:K$301))*LN(K76/SUM(K$2:K$301)))</f>
        <v/>
      </c>
      <c r="S76">
        <f>IF(Datos!A76="","",(L76/SUM(L$2:L$301))*LN(L76/SUM(L$2:L$301)))</f>
        <v/>
      </c>
      <c r="T76">
        <f>IF(Datos!A76="","",(M76/SUM(M$2:M$301))*LN(M76/SUM(M$2:M$301)))</f>
        <v/>
      </c>
      <c r="U76">
        <f>IF(Datos!A76="","",(N76/SUM(N$2:N$301))*LN(N76/SUM(N$2:N$301)))</f>
        <v/>
      </c>
      <c r="V76">
        <f>IF(Datos!A76="","",(O76/SUM(O$2:O$301))*LN(O76/SUM(O$2:O$301)))</f>
        <v/>
      </c>
      <c r="X76">
        <f>IF(Datos!A76="","",IF(SUMSQ(C$2:C$301)=0,0,C76/SQRT(SUMSQ(C$2:C$301)))*$BE$2)</f>
        <v/>
      </c>
      <c r="Y76">
        <f>IF(Datos!A76="","",IF(SUMSQ(D$2:D$301)=0,0,D76/SQRT(SUMSQ(D$2:D$301)))*$BE$3)</f>
        <v/>
      </c>
      <c r="Z76">
        <f>IF(Datos!A76="","",IF(SUMSQ(E$2:E$301)=0,0,E76/SQRT(SUMSQ(E$2:E$301)))*$BE$4)</f>
        <v/>
      </c>
      <c r="AA76">
        <f>IF(Datos!A76="","",IF(SUMSQ(F$2:F$301)=0,0,F76/SQRT(SUMSQ(F$2:F$301)))*$BE$5)</f>
        <v/>
      </c>
      <c r="AB76">
        <f>IF(Datos!A76="","",IF(SUMSQ(G$2:G$301)=0,0,G76/SQRT(SUMSQ(G$2:G$301)))*$BE$6)</f>
        <v/>
      </c>
      <c r="AC76">
        <f>IF(Datos!A76="","",IF(SUMSQ(H$2:H$301)=0,0,H76/SQRT(SUMSQ(H$2:H$301)))*$BE$7)</f>
        <v/>
      </c>
      <c r="AE76">
        <f>IF(Datos!A76="","",SQRT(SUMXMY2(X76:AC76,$X$303:$AC$303)))</f>
        <v/>
      </c>
      <c r="AF76">
        <f>IF(Datos!A76="","",SQRT(SUMXMY2(X76:AC76,$X$304:$AC$304)))</f>
        <v/>
      </c>
      <c r="AG76" s="11">
        <f>IF(Datos!A76="","",IF(AE76+AF76&lt;0.000000001,0.5,AF76/(AE76+AF76)))</f>
        <v/>
      </c>
      <c r="AH76">
        <f>IF(Datos!A76="","",AG76*MAX(C76*D76,1))</f>
        <v/>
      </c>
      <c r="AI76">
        <f>IF(Datos!A76="","",SUMIF($AH$2:$AH$301,"&gt;="&amp;AH76,$AH$2:$AH$301)/SUM($AH$2:$AH$301))</f>
        <v/>
      </c>
      <c r="AJ76" s="12">
        <f>IF(Datos!A76="","",IF(AI76&lt;=Parametros!$B$13,"A",IF(AI76&lt;=Parametros!$B$14,"B","C")))</f>
        <v/>
      </c>
      <c r="AK76" s="13">
        <f>IF(Datos!A76="","",VLOOKUP(AJ76,Parametros!$A$8:$C$10,2,FALSE))</f>
        <v/>
      </c>
      <c r="AL76">
        <f>IF(Datos!A76="","",VLOOKUP(AJ76,Parametros!$A$8:$C$10,3,FALSE))</f>
        <v/>
      </c>
      <c r="AM76">
        <f>IF(Datos!A76="","",NORMSINV(AK76))</f>
        <v/>
      </c>
      <c r="AN76">
        <f>IF(Datos!A76="","",D76/Parametros!$B$4)</f>
        <v/>
      </c>
      <c r="AO76">
        <f>IF(Datos!A76="","",MAX(0,ROUNDUP(AM76*(AN76*Parametros!$B$3)*SQRT((AL76+E76)),0)))</f>
        <v/>
      </c>
      <c r="AP76">
        <f>IF(Datos!A76="","",MAX(1,ROUNDUP(AN76*(AL76+E76)+AM76*(AN76*Parametros!$B$3)*SQRT((AL76+E76)),0)))</f>
        <v/>
      </c>
      <c r="AQ76">
        <f>IF(Datos!A76="","",IF(Datos!J76="","",Datos!J76))</f>
        <v/>
      </c>
      <c r="AR76">
        <f>IF(OR(Datos!A76="",AQ76=""),"",MAX(0,AQ76-AP76))</f>
        <v/>
      </c>
      <c r="AS76" s="10">
        <f>IF(OR(Datos!A76="",AQ76=""),"",AR76*C76)</f>
        <v/>
      </c>
      <c r="AT76" s="12">
        <f>IF(OR(Datos!A76="",AQ76=""),"",IF(AQ76&lt;AO76,"SI",""))</f>
        <v/>
      </c>
      <c r="AU76">
        <f>IF(Datos!A76="","",IF(AT76="SI","Reponer ahora",IF(AND(AQ76&lt;&gt;"",AR76&gt;0),"Bajar "&amp;TEXT(AR76,"#,##0")&amp;" un.","En rango")))</f>
        <v/>
      </c>
    </row>
    <row r="77">
      <c r="A77">
        <f>IF(Datos!A77="","",Datos!A77)</f>
        <v/>
      </c>
      <c r="B77">
        <f>IF(Datos!A77="","",Datos!B77)</f>
        <v/>
      </c>
      <c r="C77">
        <f>IF(Datos!A77="","",IFERROR(MAX(0,N(Datos!D77)),0))</f>
        <v/>
      </c>
      <c r="D77">
        <f>IF(Datos!A77="","",IFERROR(MAX(0,N(Datos!E77)),0))</f>
        <v/>
      </c>
      <c r="E77">
        <f>IF(Datos!A77="","",IFERROR(MAX(0,N(Datos!F77)),0))</f>
        <v/>
      </c>
      <c r="F77">
        <f>IF(Datos!A77="","",IFERROR(MAX(0,N(Datos!G77)),0))</f>
        <v/>
      </c>
      <c r="G77">
        <f>IF(Datos!A77="","",IFERROR(MAX(0,N(Datos!H77)),0))</f>
        <v/>
      </c>
      <c r="H77">
        <f>IF(Datos!A77="","",IFERROR(MAX(0,N(Datos!I77)),0))</f>
        <v/>
      </c>
      <c r="J77">
        <f>IF(Datos!A77="","",IF(MAX(C$2:C$301)-MIN(C$2:C$301)&lt;0.000000001,0.5,(C77-MIN(C$2:C$301))/(MAX(C$2:C$301)-MIN(C$2:C$301)))+0.000000001)</f>
        <v/>
      </c>
      <c r="K77">
        <f>IF(Datos!A77="","",IF(MAX(D$2:D$301)-MIN(D$2:D$301)&lt;0.000000001,0.5,(D77-MIN(D$2:D$301))/(MAX(D$2:D$301)-MIN(D$2:D$301)))+0.000000001)</f>
        <v/>
      </c>
      <c r="L77">
        <f>IF(Datos!A77="","",IF(MAX(E$2:E$301)-MIN(E$2:E$301)&lt;0.000000001,0.5,(E77-MIN(E$2:E$301))/(MAX(E$2:E$301)-MIN(E$2:E$301)))+0.000000001)</f>
        <v/>
      </c>
      <c r="M77">
        <f>IF(Datos!A77="","",IF(MAX(F$2:F$301)-MIN(F$2:F$301)&lt;0.000000001,0.5,(F77-MIN(F$2:F$301))/(MAX(F$2:F$301)-MIN(F$2:F$301)))+0.000000001)</f>
        <v/>
      </c>
      <c r="N77">
        <f>IF(Datos!A77="","",IF(MAX(G$2:G$301)-MIN(G$2:G$301)&lt;0.000000001,0.5,(G77-MIN(G$2:G$301))/(MAX(G$2:G$301)-MIN(G$2:G$301)))+0.000000001)</f>
        <v/>
      </c>
      <c r="O77">
        <f>IF(Datos!A77="","",IF(MAX(H$2:H$301)-MIN(H$2:H$301)&lt;0.000000001,0.5,(H77-MIN(H$2:H$301))/(MAX(H$2:H$301)-MIN(H$2:H$301)))+0.000000001)</f>
        <v/>
      </c>
      <c r="Q77">
        <f>IF(Datos!A77="","",(J77/SUM(J$2:J$301))*LN(J77/SUM(J$2:J$301)))</f>
        <v/>
      </c>
      <c r="R77">
        <f>IF(Datos!A77="","",(K77/SUM(K$2:K$301))*LN(K77/SUM(K$2:K$301)))</f>
        <v/>
      </c>
      <c r="S77">
        <f>IF(Datos!A77="","",(L77/SUM(L$2:L$301))*LN(L77/SUM(L$2:L$301)))</f>
        <v/>
      </c>
      <c r="T77">
        <f>IF(Datos!A77="","",(M77/SUM(M$2:M$301))*LN(M77/SUM(M$2:M$301)))</f>
        <v/>
      </c>
      <c r="U77">
        <f>IF(Datos!A77="","",(N77/SUM(N$2:N$301))*LN(N77/SUM(N$2:N$301)))</f>
        <v/>
      </c>
      <c r="V77">
        <f>IF(Datos!A77="","",(O77/SUM(O$2:O$301))*LN(O77/SUM(O$2:O$301)))</f>
        <v/>
      </c>
      <c r="X77">
        <f>IF(Datos!A77="","",IF(SUMSQ(C$2:C$301)=0,0,C77/SQRT(SUMSQ(C$2:C$301)))*$BE$2)</f>
        <v/>
      </c>
      <c r="Y77">
        <f>IF(Datos!A77="","",IF(SUMSQ(D$2:D$301)=0,0,D77/SQRT(SUMSQ(D$2:D$301)))*$BE$3)</f>
        <v/>
      </c>
      <c r="Z77">
        <f>IF(Datos!A77="","",IF(SUMSQ(E$2:E$301)=0,0,E77/SQRT(SUMSQ(E$2:E$301)))*$BE$4)</f>
        <v/>
      </c>
      <c r="AA77">
        <f>IF(Datos!A77="","",IF(SUMSQ(F$2:F$301)=0,0,F77/SQRT(SUMSQ(F$2:F$301)))*$BE$5)</f>
        <v/>
      </c>
      <c r="AB77">
        <f>IF(Datos!A77="","",IF(SUMSQ(G$2:G$301)=0,0,G77/SQRT(SUMSQ(G$2:G$301)))*$BE$6)</f>
        <v/>
      </c>
      <c r="AC77">
        <f>IF(Datos!A77="","",IF(SUMSQ(H$2:H$301)=0,0,H77/SQRT(SUMSQ(H$2:H$301)))*$BE$7)</f>
        <v/>
      </c>
      <c r="AE77">
        <f>IF(Datos!A77="","",SQRT(SUMXMY2(X77:AC77,$X$303:$AC$303)))</f>
        <v/>
      </c>
      <c r="AF77">
        <f>IF(Datos!A77="","",SQRT(SUMXMY2(X77:AC77,$X$304:$AC$304)))</f>
        <v/>
      </c>
      <c r="AG77" s="11">
        <f>IF(Datos!A77="","",IF(AE77+AF77&lt;0.000000001,0.5,AF77/(AE77+AF77)))</f>
        <v/>
      </c>
      <c r="AH77">
        <f>IF(Datos!A77="","",AG77*MAX(C77*D77,1))</f>
        <v/>
      </c>
      <c r="AI77">
        <f>IF(Datos!A77="","",SUMIF($AH$2:$AH$301,"&gt;="&amp;AH77,$AH$2:$AH$301)/SUM($AH$2:$AH$301))</f>
        <v/>
      </c>
      <c r="AJ77" s="12">
        <f>IF(Datos!A77="","",IF(AI77&lt;=Parametros!$B$13,"A",IF(AI77&lt;=Parametros!$B$14,"B","C")))</f>
        <v/>
      </c>
      <c r="AK77" s="13">
        <f>IF(Datos!A77="","",VLOOKUP(AJ77,Parametros!$A$8:$C$10,2,FALSE))</f>
        <v/>
      </c>
      <c r="AL77">
        <f>IF(Datos!A77="","",VLOOKUP(AJ77,Parametros!$A$8:$C$10,3,FALSE))</f>
        <v/>
      </c>
      <c r="AM77">
        <f>IF(Datos!A77="","",NORMSINV(AK77))</f>
        <v/>
      </c>
      <c r="AN77">
        <f>IF(Datos!A77="","",D77/Parametros!$B$4)</f>
        <v/>
      </c>
      <c r="AO77">
        <f>IF(Datos!A77="","",MAX(0,ROUNDUP(AM77*(AN77*Parametros!$B$3)*SQRT((AL77+E77)),0)))</f>
        <v/>
      </c>
      <c r="AP77">
        <f>IF(Datos!A77="","",MAX(1,ROUNDUP(AN77*(AL77+E77)+AM77*(AN77*Parametros!$B$3)*SQRT((AL77+E77)),0)))</f>
        <v/>
      </c>
      <c r="AQ77">
        <f>IF(Datos!A77="","",IF(Datos!J77="","",Datos!J77))</f>
        <v/>
      </c>
      <c r="AR77">
        <f>IF(OR(Datos!A77="",AQ77=""),"",MAX(0,AQ77-AP77))</f>
        <v/>
      </c>
      <c r="AS77" s="10">
        <f>IF(OR(Datos!A77="",AQ77=""),"",AR77*C77)</f>
        <v/>
      </c>
      <c r="AT77" s="12">
        <f>IF(OR(Datos!A77="",AQ77=""),"",IF(AQ77&lt;AO77,"SI",""))</f>
        <v/>
      </c>
      <c r="AU77">
        <f>IF(Datos!A77="","",IF(AT77="SI","Reponer ahora",IF(AND(AQ77&lt;&gt;"",AR77&gt;0),"Bajar "&amp;TEXT(AR77,"#,##0")&amp;" un.","En rango")))</f>
        <v/>
      </c>
    </row>
    <row r="78">
      <c r="A78">
        <f>IF(Datos!A78="","",Datos!A78)</f>
        <v/>
      </c>
      <c r="B78">
        <f>IF(Datos!A78="","",Datos!B78)</f>
        <v/>
      </c>
      <c r="C78">
        <f>IF(Datos!A78="","",IFERROR(MAX(0,N(Datos!D78)),0))</f>
        <v/>
      </c>
      <c r="D78">
        <f>IF(Datos!A78="","",IFERROR(MAX(0,N(Datos!E78)),0))</f>
        <v/>
      </c>
      <c r="E78">
        <f>IF(Datos!A78="","",IFERROR(MAX(0,N(Datos!F78)),0))</f>
        <v/>
      </c>
      <c r="F78">
        <f>IF(Datos!A78="","",IFERROR(MAX(0,N(Datos!G78)),0))</f>
        <v/>
      </c>
      <c r="G78">
        <f>IF(Datos!A78="","",IFERROR(MAX(0,N(Datos!H78)),0))</f>
        <v/>
      </c>
      <c r="H78">
        <f>IF(Datos!A78="","",IFERROR(MAX(0,N(Datos!I78)),0))</f>
        <v/>
      </c>
      <c r="J78">
        <f>IF(Datos!A78="","",IF(MAX(C$2:C$301)-MIN(C$2:C$301)&lt;0.000000001,0.5,(C78-MIN(C$2:C$301))/(MAX(C$2:C$301)-MIN(C$2:C$301)))+0.000000001)</f>
        <v/>
      </c>
      <c r="K78">
        <f>IF(Datos!A78="","",IF(MAX(D$2:D$301)-MIN(D$2:D$301)&lt;0.000000001,0.5,(D78-MIN(D$2:D$301))/(MAX(D$2:D$301)-MIN(D$2:D$301)))+0.000000001)</f>
        <v/>
      </c>
      <c r="L78">
        <f>IF(Datos!A78="","",IF(MAX(E$2:E$301)-MIN(E$2:E$301)&lt;0.000000001,0.5,(E78-MIN(E$2:E$301))/(MAX(E$2:E$301)-MIN(E$2:E$301)))+0.000000001)</f>
        <v/>
      </c>
      <c r="M78">
        <f>IF(Datos!A78="","",IF(MAX(F$2:F$301)-MIN(F$2:F$301)&lt;0.000000001,0.5,(F78-MIN(F$2:F$301))/(MAX(F$2:F$301)-MIN(F$2:F$301)))+0.000000001)</f>
        <v/>
      </c>
      <c r="N78">
        <f>IF(Datos!A78="","",IF(MAX(G$2:G$301)-MIN(G$2:G$301)&lt;0.000000001,0.5,(G78-MIN(G$2:G$301))/(MAX(G$2:G$301)-MIN(G$2:G$301)))+0.000000001)</f>
        <v/>
      </c>
      <c r="O78">
        <f>IF(Datos!A78="","",IF(MAX(H$2:H$301)-MIN(H$2:H$301)&lt;0.000000001,0.5,(H78-MIN(H$2:H$301))/(MAX(H$2:H$301)-MIN(H$2:H$301)))+0.000000001)</f>
        <v/>
      </c>
      <c r="Q78">
        <f>IF(Datos!A78="","",(J78/SUM(J$2:J$301))*LN(J78/SUM(J$2:J$301)))</f>
        <v/>
      </c>
      <c r="R78">
        <f>IF(Datos!A78="","",(K78/SUM(K$2:K$301))*LN(K78/SUM(K$2:K$301)))</f>
        <v/>
      </c>
      <c r="S78">
        <f>IF(Datos!A78="","",(L78/SUM(L$2:L$301))*LN(L78/SUM(L$2:L$301)))</f>
        <v/>
      </c>
      <c r="T78">
        <f>IF(Datos!A78="","",(M78/SUM(M$2:M$301))*LN(M78/SUM(M$2:M$301)))</f>
        <v/>
      </c>
      <c r="U78">
        <f>IF(Datos!A78="","",(N78/SUM(N$2:N$301))*LN(N78/SUM(N$2:N$301)))</f>
        <v/>
      </c>
      <c r="V78">
        <f>IF(Datos!A78="","",(O78/SUM(O$2:O$301))*LN(O78/SUM(O$2:O$301)))</f>
        <v/>
      </c>
      <c r="X78">
        <f>IF(Datos!A78="","",IF(SUMSQ(C$2:C$301)=0,0,C78/SQRT(SUMSQ(C$2:C$301)))*$BE$2)</f>
        <v/>
      </c>
      <c r="Y78">
        <f>IF(Datos!A78="","",IF(SUMSQ(D$2:D$301)=0,0,D78/SQRT(SUMSQ(D$2:D$301)))*$BE$3)</f>
        <v/>
      </c>
      <c r="Z78">
        <f>IF(Datos!A78="","",IF(SUMSQ(E$2:E$301)=0,0,E78/SQRT(SUMSQ(E$2:E$301)))*$BE$4)</f>
        <v/>
      </c>
      <c r="AA78">
        <f>IF(Datos!A78="","",IF(SUMSQ(F$2:F$301)=0,0,F78/SQRT(SUMSQ(F$2:F$301)))*$BE$5)</f>
        <v/>
      </c>
      <c r="AB78">
        <f>IF(Datos!A78="","",IF(SUMSQ(G$2:G$301)=0,0,G78/SQRT(SUMSQ(G$2:G$301)))*$BE$6)</f>
        <v/>
      </c>
      <c r="AC78">
        <f>IF(Datos!A78="","",IF(SUMSQ(H$2:H$301)=0,0,H78/SQRT(SUMSQ(H$2:H$301)))*$BE$7)</f>
        <v/>
      </c>
      <c r="AE78">
        <f>IF(Datos!A78="","",SQRT(SUMXMY2(X78:AC78,$X$303:$AC$303)))</f>
        <v/>
      </c>
      <c r="AF78">
        <f>IF(Datos!A78="","",SQRT(SUMXMY2(X78:AC78,$X$304:$AC$304)))</f>
        <v/>
      </c>
      <c r="AG78" s="11">
        <f>IF(Datos!A78="","",IF(AE78+AF78&lt;0.000000001,0.5,AF78/(AE78+AF78)))</f>
        <v/>
      </c>
      <c r="AH78">
        <f>IF(Datos!A78="","",AG78*MAX(C78*D78,1))</f>
        <v/>
      </c>
      <c r="AI78">
        <f>IF(Datos!A78="","",SUMIF($AH$2:$AH$301,"&gt;="&amp;AH78,$AH$2:$AH$301)/SUM($AH$2:$AH$301))</f>
        <v/>
      </c>
      <c r="AJ78" s="12">
        <f>IF(Datos!A78="","",IF(AI78&lt;=Parametros!$B$13,"A",IF(AI78&lt;=Parametros!$B$14,"B","C")))</f>
        <v/>
      </c>
      <c r="AK78" s="13">
        <f>IF(Datos!A78="","",VLOOKUP(AJ78,Parametros!$A$8:$C$10,2,FALSE))</f>
        <v/>
      </c>
      <c r="AL78">
        <f>IF(Datos!A78="","",VLOOKUP(AJ78,Parametros!$A$8:$C$10,3,FALSE))</f>
        <v/>
      </c>
      <c r="AM78">
        <f>IF(Datos!A78="","",NORMSINV(AK78))</f>
        <v/>
      </c>
      <c r="AN78">
        <f>IF(Datos!A78="","",D78/Parametros!$B$4)</f>
        <v/>
      </c>
      <c r="AO78">
        <f>IF(Datos!A78="","",MAX(0,ROUNDUP(AM78*(AN78*Parametros!$B$3)*SQRT((AL78+E78)),0)))</f>
        <v/>
      </c>
      <c r="AP78">
        <f>IF(Datos!A78="","",MAX(1,ROUNDUP(AN78*(AL78+E78)+AM78*(AN78*Parametros!$B$3)*SQRT((AL78+E78)),0)))</f>
        <v/>
      </c>
      <c r="AQ78">
        <f>IF(Datos!A78="","",IF(Datos!J78="","",Datos!J78))</f>
        <v/>
      </c>
      <c r="AR78">
        <f>IF(OR(Datos!A78="",AQ78=""),"",MAX(0,AQ78-AP78))</f>
        <v/>
      </c>
      <c r="AS78" s="10">
        <f>IF(OR(Datos!A78="",AQ78=""),"",AR78*C78)</f>
        <v/>
      </c>
      <c r="AT78" s="12">
        <f>IF(OR(Datos!A78="",AQ78=""),"",IF(AQ78&lt;AO78,"SI",""))</f>
        <v/>
      </c>
      <c r="AU78">
        <f>IF(Datos!A78="","",IF(AT78="SI","Reponer ahora",IF(AND(AQ78&lt;&gt;"",AR78&gt;0),"Bajar "&amp;TEXT(AR78,"#,##0")&amp;" un.","En rango")))</f>
        <v/>
      </c>
    </row>
    <row r="79">
      <c r="A79">
        <f>IF(Datos!A79="","",Datos!A79)</f>
        <v/>
      </c>
      <c r="B79">
        <f>IF(Datos!A79="","",Datos!B79)</f>
        <v/>
      </c>
      <c r="C79">
        <f>IF(Datos!A79="","",IFERROR(MAX(0,N(Datos!D79)),0))</f>
        <v/>
      </c>
      <c r="D79">
        <f>IF(Datos!A79="","",IFERROR(MAX(0,N(Datos!E79)),0))</f>
        <v/>
      </c>
      <c r="E79">
        <f>IF(Datos!A79="","",IFERROR(MAX(0,N(Datos!F79)),0))</f>
        <v/>
      </c>
      <c r="F79">
        <f>IF(Datos!A79="","",IFERROR(MAX(0,N(Datos!G79)),0))</f>
        <v/>
      </c>
      <c r="G79">
        <f>IF(Datos!A79="","",IFERROR(MAX(0,N(Datos!H79)),0))</f>
        <v/>
      </c>
      <c r="H79">
        <f>IF(Datos!A79="","",IFERROR(MAX(0,N(Datos!I79)),0))</f>
        <v/>
      </c>
      <c r="J79">
        <f>IF(Datos!A79="","",IF(MAX(C$2:C$301)-MIN(C$2:C$301)&lt;0.000000001,0.5,(C79-MIN(C$2:C$301))/(MAX(C$2:C$301)-MIN(C$2:C$301)))+0.000000001)</f>
        <v/>
      </c>
      <c r="K79">
        <f>IF(Datos!A79="","",IF(MAX(D$2:D$301)-MIN(D$2:D$301)&lt;0.000000001,0.5,(D79-MIN(D$2:D$301))/(MAX(D$2:D$301)-MIN(D$2:D$301)))+0.000000001)</f>
        <v/>
      </c>
      <c r="L79">
        <f>IF(Datos!A79="","",IF(MAX(E$2:E$301)-MIN(E$2:E$301)&lt;0.000000001,0.5,(E79-MIN(E$2:E$301))/(MAX(E$2:E$301)-MIN(E$2:E$301)))+0.000000001)</f>
        <v/>
      </c>
      <c r="M79">
        <f>IF(Datos!A79="","",IF(MAX(F$2:F$301)-MIN(F$2:F$301)&lt;0.000000001,0.5,(F79-MIN(F$2:F$301))/(MAX(F$2:F$301)-MIN(F$2:F$301)))+0.000000001)</f>
        <v/>
      </c>
      <c r="N79">
        <f>IF(Datos!A79="","",IF(MAX(G$2:G$301)-MIN(G$2:G$301)&lt;0.000000001,0.5,(G79-MIN(G$2:G$301))/(MAX(G$2:G$301)-MIN(G$2:G$301)))+0.000000001)</f>
        <v/>
      </c>
      <c r="O79">
        <f>IF(Datos!A79="","",IF(MAX(H$2:H$301)-MIN(H$2:H$301)&lt;0.000000001,0.5,(H79-MIN(H$2:H$301))/(MAX(H$2:H$301)-MIN(H$2:H$301)))+0.000000001)</f>
        <v/>
      </c>
      <c r="Q79">
        <f>IF(Datos!A79="","",(J79/SUM(J$2:J$301))*LN(J79/SUM(J$2:J$301)))</f>
        <v/>
      </c>
      <c r="R79">
        <f>IF(Datos!A79="","",(K79/SUM(K$2:K$301))*LN(K79/SUM(K$2:K$301)))</f>
        <v/>
      </c>
      <c r="S79">
        <f>IF(Datos!A79="","",(L79/SUM(L$2:L$301))*LN(L79/SUM(L$2:L$301)))</f>
        <v/>
      </c>
      <c r="T79">
        <f>IF(Datos!A79="","",(M79/SUM(M$2:M$301))*LN(M79/SUM(M$2:M$301)))</f>
        <v/>
      </c>
      <c r="U79">
        <f>IF(Datos!A79="","",(N79/SUM(N$2:N$301))*LN(N79/SUM(N$2:N$301)))</f>
        <v/>
      </c>
      <c r="V79">
        <f>IF(Datos!A79="","",(O79/SUM(O$2:O$301))*LN(O79/SUM(O$2:O$301)))</f>
        <v/>
      </c>
      <c r="X79">
        <f>IF(Datos!A79="","",IF(SUMSQ(C$2:C$301)=0,0,C79/SQRT(SUMSQ(C$2:C$301)))*$BE$2)</f>
        <v/>
      </c>
      <c r="Y79">
        <f>IF(Datos!A79="","",IF(SUMSQ(D$2:D$301)=0,0,D79/SQRT(SUMSQ(D$2:D$301)))*$BE$3)</f>
        <v/>
      </c>
      <c r="Z79">
        <f>IF(Datos!A79="","",IF(SUMSQ(E$2:E$301)=0,0,E79/SQRT(SUMSQ(E$2:E$301)))*$BE$4)</f>
        <v/>
      </c>
      <c r="AA79">
        <f>IF(Datos!A79="","",IF(SUMSQ(F$2:F$301)=0,0,F79/SQRT(SUMSQ(F$2:F$301)))*$BE$5)</f>
        <v/>
      </c>
      <c r="AB79">
        <f>IF(Datos!A79="","",IF(SUMSQ(G$2:G$301)=0,0,G79/SQRT(SUMSQ(G$2:G$301)))*$BE$6)</f>
        <v/>
      </c>
      <c r="AC79">
        <f>IF(Datos!A79="","",IF(SUMSQ(H$2:H$301)=0,0,H79/SQRT(SUMSQ(H$2:H$301)))*$BE$7)</f>
        <v/>
      </c>
      <c r="AE79">
        <f>IF(Datos!A79="","",SQRT(SUMXMY2(X79:AC79,$X$303:$AC$303)))</f>
        <v/>
      </c>
      <c r="AF79">
        <f>IF(Datos!A79="","",SQRT(SUMXMY2(X79:AC79,$X$304:$AC$304)))</f>
        <v/>
      </c>
      <c r="AG79" s="11">
        <f>IF(Datos!A79="","",IF(AE79+AF79&lt;0.000000001,0.5,AF79/(AE79+AF79)))</f>
        <v/>
      </c>
      <c r="AH79">
        <f>IF(Datos!A79="","",AG79*MAX(C79*D79,1))</f>
        <v/>
      </c>
      <c r="AI79">
        <f>IF(Datos!A79="","",SUMIF($AH$2:$AH$301,"&gt;="&amp;AH79,$AH$2:$AH$301)/SUM($AH$2:$AH$301))</f>
        <v/>
      </c>
      <c r="AJ79" s="12">
        <f>IF(Datos!A79="","",IF(AI79&lt;=Parametros!$B$13,"A",IF(AI79&lt;=Parametros!$B$14,"B","C")))</f>
        <v/>
      </c>
      <c r="AK79" s="13">
        <f>IF(Datos!A79="","",VLOOKUP(AJ79,Parametros!$A$8:$C$10,2,FALSE))</f>
        <v/>
      </c>
      <c r="AL79">
        <f>IF(Datos!A79="","",VLOOKUP(AJ79,Parametros!$A$8:$C$10,3,FALSE))</f>
        <v/>
      </c>
      <c r="AM79">
        <f>IF(Datos!A79="","",NORMSINV(AK79))</f>
        <v/>
      </c>
      <c r="AN79">
        <f>IF(Datos!A79="","",D79/Parametros!$B$4)</f>
        <v/>
      </c>
      <c r="AO79">
        <f>IF(Datos!A79="","",MAX(0,ROUNDUP(AM79*(AN79*Parametros!$B$3)*SQRT((AL79+E79)),0)))</f>
        <v/>
      </c>
      <c r="AP79">
        <f>IF(Datos!A79="","",MAX(1,ROUNDUP(AN79*(AL79+E79)+AM79*(AN79*Parametros!$B$3)*SQRT((AL79+E79)),0)))</f>
        <v/>
      </c>
      <c r="AQ79">
        <f>IF(Datos!A79="","",IF(Datos!J79="","",Datos!J79))</f>
        <v/>
      </c>
      <c r="AR79">
        <f>IF(OR(Datos!A79="",AQ79=""),"",MAX(0,AQ79-AP79))</f>
        <v/>
      </c>
      <c r="AS79" s="10">
        <f>IF(OR(Datos!A79="",AQ79=""),"",AR79*C79)</f>
        <v/>
      </c>
      <c r="AT79" s="12">
        <f>IF(OR(Datos!A79="",AQ79=""),"",IF(AQ79&lt;AO79,"SI",""))</f>
        <v/>
      </c>
      <c r="AU79">
        <f>IF(Datos!A79="","",IF(AT79="SI","Reponer ahora",IF(AND(AQ79&lt;&gt;"",AR79&gt;0),"Bajar "&amp;TEXT(AR79,"#,##0")&amp;" un.","En rango")))</f>
        <v/>
      </c>
    </row>
    <row r="80">
      <c r="A80">
        <f>IF(Datos!A80="","",Datos!A80)</f>
        <v/>
      </c>
      <c r="B80">
        <f>IF(Datos!A80="","",Datos!B80)</f>
        <v/>
      </c>
      <c r="C80">
        <f>IF(Datos!A80="","",IFERROR(MAX(0,N(Datos!D80)),0))</f>
        <v/>
      </c>
      <c r="D80">
        <f>IF(Datos!A80="","",IFERROR(MAX(0,N(Datos!E80)),0))</f>
        <v/>
      </c>
      <c r="E80">
        <f>IF(Datos!A80="","",IFERROR(MAX(0,N(Datos!F80)),0))</f>
        <v/>
      </c>
      <c r="F80">
        <f>IF(Datos!A80="","",IFERROR(MAX(0,N(Datos!G80)),0))</f>
        <v/>
      </c>
      <c r="G80">
        <f>IF(Datos!A80="","",IFERROR(MAX(0,N(Datos!H80)),0))</f>
        <v/>
      </c>
      <c r="H80">
        <f>IF(Datos!A80="","",IFERROR(MAX(0,N(Datos!I80)),0))</f>
        <v/>
      </c>
      <c r="J80">
        <f>IF(Datos!A80="","",IF(MAX(C$2:C$301)-MIN(C$2:C$301)&lt;0.000000001,0.5,(C80-MIN(C$2:C$301))/(MAX(C$2:C$301)-MIN(C$2:C$301)))+0.000000001)</f>
        <v/>
      </c>
      <c r="K80">
        <f>IF(Datos!A80="","",IF(MAX(D$2:D$301)-MIN(D$2:D$301)&lt;0.000000001,0.5,(D80-MIN(D$2:D$301))/(MAX(D$2:D$301)-MIN(D$2:D$301)))+0.000000001)</f>
        <v/>
      </c>
      <c r="L80">
        <f>IF(Datos!A80="","",IF(MAX(E$2:E$301)-MIN(E$2:E$301)&lt;0.000000001,0.5,(E80-MIN(E$2:E$301))/(MAX(E$2:E$301)-MIN(E$2:E$301)))+0.000000001)</f>
        <v/>
      </c>
      <c r="M80">
        <f>IF(Datos!A80="","",IF(MAX(F$2:F$301)-MIN(F$2:F$301)&lt;0.000000001,0.5,(F80-MIN(F$2:F$301))/(MAX(F$2:F$301)-MIN(F$2:F$301)))+0.000000001)</f>
        <v/>
      </c>
      <c r="N80">
        <f>IF(Datos!A80="","",IF(MAX(G$2:G$301)-MIN(G$2:G$301)&lt;0.000000001,0.5,(G80-MIN(G$2:G$301))/(MAX(G$2:G$301)-MIN(G$2:G$301)))+0.000000001)</f>
        <v/>
      </c>
      <c r="O80">
        <f>IF(Datos!A80="","",IF(MAX(H$2:H$301)-MIN(H$2:H$301)&lt;0.000000001,0.5,(H80-MIN(H$2:H$301))/(MAX(H$2:H$301)-MIN(H$2:H$301)))+0.000000001)</f>
        <v/>
      </c>
      <c r="Q80">
        <f>IF(Datos!A80="","",(J80/SUM(J$2:J$301))*LN(J80/SUM(J$2:J$301)))</f>
        <v/>
      </c>
      <c r="R80">
        <f>IF(Datos!A80="","",(K80/SUM(K$2:K$301))*LN(K80/SUM(K$2:K$301)))</f>
        <v/>
      </c>
      <c r="S80">
        <f>IF(Datos!A80="","",(L80/SUM(L$2:L$301))*LN(L80/SUM(L$2:L$301)))</f>
        <v/>
      </c>
      <c r="T80">
        <f>IF(Datos!A80="","",(M80/SUM(M$2:M$301))*LN(M80/SUM(M$2:M$301)))</f>
        <v/>
      </c>
      <c r="U80">
        <f>IF(Datos!A80="","",(N80/SUM(N$2:N$301))*LN(N80/SUM(N$2:N$301)))</f>
        <v/>
      </c>
      <c r="V80">
        <f>IF(Datos!A80="","",(O80/SUM(O$2:O$301))*LN(O80/SUM(O$2:O$301)))</f>
        <v/>
      </c>
      <c r="X80">
        <f>IF(Datos!A80="","",IF(SUMSQ(C$2:C$301)=0,0,C80/SQRT(SUMSQ(C$2:C$301)))*$BE$2)</f>
        <v/>
      </c>
      <c r="Y80">
        <f>IF(Datos!A80="","",IF(SUMSQ(D$2:D$301)=0,0,D80/SQRT(SUMSQ(D$2:D$301)))*$BE$3)</f>
        <v/>
      </c>
      <c r="Z80">
        <f>IF(Datos!A80="","",IF(SUMSQ(E$2:E$301)=0,0,E80/SQRT(SUMSQ(E$2:E$301)))*$BE$4)</f>
        <v/>
      </c>
      <c r="AA80">
        <f>IF(Datos!A80="","",IF(SUMSQ(F$2:F$301)=0,0,F80/SQRT(SUMSQ(F$2:F$301)))*$BE$5)</f>
        <v/>
      </c>
      <c r="AB80">
        <f>IF(Datos!A80="","",IF(SUMSQ(G$2:G$301)=0,0,G80/SQRT(SUMSQ(G$2:G$301)))*$BE$6)</f>
        <v/>
      </c>
      <c r="AC80">
        <f>IF(Datos!A80="","",IF(SUMSQ(H$2:H$301)=0,0,H80/SQRT(SUMSQ(H$2:H$301)))*$BE$7)</f>
        <v/>
      </c>
      <c r="AE80">
        <f>IF(Datos!A80="","",SQRT(SUMXMY2(X80:AC80,$X$303:$AC$303)))</f>
        <v/>
      </c>
      <c r="AF80">
        <f>IF(Datos!A80="","",SQRT(SUMXMY2(X80:AC80,$X$304:$AC$304)))</f>
        <v/>
      </c>
      <c r="AG80" s="11">
        <f>IF(Datos!A80="","",IF(AE80+AF80&lt;0.000000001,0.5,AF80/(AE80+AF80)))</f>
        <v/>
      </c>
      <c r="AH80">
        <f>IF(Datos!A80="","",AG80*MAX(C80*D80,1))</f>
        <v/>
      </c>
      <c r="AI80">
        <f>IF(Datos!A80="","",SUMIF($AH$2:$AH$301,"&gt;="&amp;AH80,$AH$2:$AH$301)/SUM($AH$2:$AH$301))</f>
        <v/>
      </c>
      <c r="AJ80" s="12">
        <f>IF(Datos!A80="","",IF(AI80&lt;=Parametros!$B$13,"A",IF(AI80&lt;=Parametros!$B$14,"B","C")))</f>
        <v/>
      </c>
      <c r="AK80" s="13">
        <f>IF(Datos!A80="","",VLOOKUP(AJ80,Parametros!$A$8:$C$10,2,FALSE))</f>
        <v/>
      </c>
      <c r="AL80">
        <f>IF(Datos!A80="","",VLOOKUP(AJ80,Parametros!$A$8:$C$10,3,FALSE))</f>
        <v/>
      </c>
      <c r="AM80">
        <f>IF(Datos!A80="","",NORMSINV(AK80))</f>
        <v/>
      </c>
      <c r="AN80">
        <f>IF(Datos!A80="","",D80/Parametros!$B$4)</f>
        <v/>
      </c>
      <c r="AO80">
        <f>IF(Datos!A80="","",MAX(0,ROUNDUP(AM80*(AN80*Parametros!$B$3)*SQRT((AL80+E80)),0)))</f>
        <v/>
      </c>
      <c r="AP80">
        <f>IF(Datos!A80="","",MAX(1,ROUNDUP(AN80*(AL80+E80)+AM80*(AN80*Parametros!$B$3)*SQRT((AL80+E80)),0)))</f>
        <v/>
      </c>
      <c r="AQ80">
        <f>IF(Datos!A80="","",IF(Datos!J80="","",Datos!J80))</f>
        <v/>
      </c>
      <c r="AR80">
        <f>IF(OR(Datos!A80="",AQ80=""),"",MAX(0,AQ80-AP80))</f>
        <v/>
      </c>
      <c r="AS80" s="10">
        <f>IF(OR(Datos!A80="",AQ80=""),"",AR80*C80)</f>
        <v/>
      </c>
      <c r="AT80" s="12">
        <f>IF(OR(Datos!A80="",AQ80=""),"",IF(AQ80&lt;AO80,"SI",""))</f>
        <v/>
      </c>
      <c r="AU80">
        <f>IF(Datos!A80="","",IF(AT80="SI","Reponer ahora",IF(AND(AQ80&lt;&gt;"",AR80&gt;0),"Bajar "&amp;TEXT(AR80,"#,##0")&amp;" un.","En rango")))</f>
        <v/>
      </c>
    </row>
    <row r="81">
      <c r="A81">
        <f>IF(Datos!A81="","",Datos!A81)</f>
        <v/>
      </c>
      <c r="B81">
        <f>IF(Datos!A81="","",Datos!B81)</f>
        <v/>
      </c>
      <c r="C81">
        <f>IF(Datos!A81="","",IFERROR(MAX(0,N(Datos!D81)),0))</f>
        <v/>
      </c>
      <c r="D81">
        <f>IF(Datos!A81="","",IFERROR(MAX(0,N(Datos!E81)),0))</f>
        <v/>
      </c>
      <c r="E81">
        <f>IF(Datos!A81="","",IFERROR(MAX(0,N(Datos!F81)),0))</f>
        <v/>
      </c>
      <c r="F81">
        <f>IF(Datos!A81="","",IFERROR(MAX(0,N(Datos!G81)),0))</f>
        <v/>
      </c>
      <c r="G81">
        <f>IF(Datos!A81="","",IFERROR(MAX(0,N(Datos!H81)),0))</f>
        <v/>
      </c>
      <c r="H81">
        <f>IF(Datos!A81="","",IFERROR(MAX(0,N(Datos!I81)),0))</f>
        <v/>
      </c>
      <c r="J81">
        <f>IF(Datos!A81="","",IF(MAX(C$2:C$301)-MIN(C$2:C$301)&lt;0.000000001,0.5,(C81-MIN(C$2:C$301))/(MAX(C$2:C$301)-MIN(C$2:C$301)))+0.000000001)</f>
        <v/>
      </c>
      <c r="K81">
        <f>IF(Datos!A81="","",IF(MAX(D$2:D$301)-MIN(D$2:D$301)&lt;0.000000001,0.5,(D81-MIN(D$2:D$301))/(MAX(D$2:D$301)-MIN(D$2:D$301)))+0.000000001)</f>
        <v/>
      </c>
      <c r="L81">
        <f>IF(Datos!A81="","",IF(MAX(E$2:E$301)-MIN(E$2:E$301)&lt;0.000000001,0.5,(E81-MIN(E$2:E$301))/(MAX(E$2:E$301)-MIN(E$2:E$301)))+0.000000001)</f>
        <v/>
      </c>
      <c r="M81">
        <f>IF(Datos!A81="","",IF(MAX(F$2:F$301)-MIN(F$2:F$301)&lt;0.000000001,0.5,(F81-MIN(F$2:F$301))/(MAX(F$2:F$301)-MIN(F$2:F$301)))+0.000000001)</f>
        <v/>
      </c>
      <c r="N81">
        <f>IF(Datos!A81="","",IF(MAX(G$2:G$301)-MIN(G$2:G$301)&lt;0.000000001,0.5,(G81-MIN(G$2:G$301))/(MAX(G$2:G$301)-MIN(G$2:G$301)))+0.000000001)</f>
        <v/>
      </c>
      <c r="O81">
        <f>IF(Datos!A81="","",IF(MAX(H$2:H$301)-MIN(H$2:H$301)&lt;0.000000001,0.5,(H81-MIN(H$2:H$301))/(MAX(H$2:H$301)-MIN(H$2:H$301)))+0.000000001)</f>
        <v/>
      </c>
      <c r="Q81">
        <f>IF(Datos!A81="","",(J81/SUM(J$2:J$301))*LN(J81/SUM(J$2:J$301)))</f>
        <v/>
      </c>
      <c r="R81">
        <f>IF(Datos!A81="","",(K81/SUM(K$2:K$301))*LN(K81/SUM(K$2:K$301)))</f>
        <v/>
      </c>
      <c r="S81">
        <f>IF(Datos!A81="","",(L81/SUM(L$2:L$301))*LN(L81/SUM(L$2:L$301)))</f>
        <v/>
      </c>
      <c r="T81">
        <f>IF(Datos!A81="","",(M81/SUM(M$2:M$301))*LN(M81/SUM(M$2:M$301)))</f>
        <v/>
      </c>
      <c r="U81">
        <f>IF(Datos!A81="","",(N81/SUM(N$2:N$301))*LN(N81/SUM(N$2:N$301)))</f>
        <v/>
      </c>
      <c r="V81">
        <f>IF(Datos!A81="","",(O81/SUM(O$2:O$301))*LN(O81/SUM(O$2:O$301)))</f>
        <v/>
      </c>
      <c r="X81">
        <f>IF(Datos!A81="","",IF(SUMSQ(C$2:C$301)=0,0,C81/SQRT(SUMSQ(C$2:C$301)))*$BE$2)</f>
        <v/>
      </c>
      <c r="Y81">
        <f>IF(Datos!A81="","",IF(SUMSQ(D$2:D$301)=0,0,D81/SQRT(SUMSQ(D$2:D$301)))*$BE$3)</f>
        <v/>
      </c>
      <c r="Z81">
        <f>IF(Datos!A81="","",IF(SUMSQ(E$2:E$301)=0,0,E81/SQRT(SUMSQ(E$2:E$301)))*$BE$4)</f>
        <v/>
      </c>
      <c r="AA81">
        <f>IF(Datos!A81="","",IF(SUMSQ(F$2:F$301)=0,0,F81/SQRT(SUMSQ(F$2:F$301)))*$BE$5)</f>
        <v/>
      </c>
      <c r="AB81">
        <f>IF(Datos!A81="","",IF(SUMSQ(G$2:G$301)=0,0,G81/SQRT(SUMSQ(G$2:G$301)))*$BE$6)</f>
        <v/>
      </c>
      <c r="AC81">
        <f>IF(Datos!A81="","",IF(SUMSQ(H$2:H$301)=0,0,H81/SQRT(SUMSQ(H$2:H$301)))*$BE$7)</f>
        <v/>
      </c>
      <c r="AE81">
        <f>IF(Datos!A81="","",SQRT(SUMXMY2(X81:AC81,$X$303:$AC$303)))</f>
        <v/>
      </c>
      <c r="AF81">
        <f>IF(Datos!A81="","",SQRT(SUMXMY2(X81:AC81,$X$304:$AC$304)))</f>
        <v/>
      </c>
      <c r="AG81" s="11">
        <f>IF(Datos!A81="","",IF(AE81+AF81&lt;0.000000001,0.5,AF81/(AE81+AF81)))</f>
        <v/>
      </c>
      <c r="AH81">
        <f>IF(Datos!A81="","",AG81*MAX(C81*D81,1))</f>
        <v/>
      </c>
      <c r="AI81">
        <f>IF(Datos!A81="","",SUMIF($AH$2:$AH$301,"&gt;="&amp;AH81,$AH$2:$AH$301)/SUM($AH$2:$AH$301))</f>
        <v/>
      </c>
      <c r="AJ81" s="12">
        <f>IF(Datos!A81="","",IF(AI81&lt;=Parametros!$B$13,"A",IF(AI81&lt;=Parametros!$B$14,"B","C")))</f>
        <v/>
      </c>
      <c r="AK81" s="13">
        <f>IF(Datos!A81="","",VLOOKUP(AJ81,Parametros!$A$8:$C$10,2,FALSE))</f>
        <v/>
      </c>
      <c r="AL81">
        <f>IF(Datos!A81="","",VLOOKUP(AJ81,Parametros!$A$8:$C$10,3,FALSE))</f>
        <v/>
      </c>
      <c r="AM81">
        <f>IF(Datos!A81="","",NORMSINV(AK81))</f>
        <v/>
      </c>
      <c r="AN81">
        <f>IF(Datos!A81="","",D81/Parametros!$B$4)</f>
        <v/>
      </c>
      <c r="AO81">
        <f>IF(Datos!A81="","",MAX(0,ROUNDUP(AM81*(AN81*Parametros!$B$3)*SQRT((AL81+E81)),0)))</f>
        <v/>
      </c>
      <c r="AP81">
        <f>IF(Datos!A81="","",MAX(1,ROUNDUP(AN81*(AL81+E81)+AM81*(AN81*Parametros!$B$3)*SQRT((AL81+E81)),0)))</f>
        <v/>
      </c>
      <c r="AQ81">
        <f>IF(Datos!A81="","",IF(Datos!J81="","",Datos!J81))</f>
        <v/>
      </c>
      <c r="AR81">
        <f>IF(OR(Datos!A81="",AQ81=""),"",MAX(0,AQ81-AP81))</f>
        <v/>
      </c>
      <c r="AS81" s="10">
        <f>IF(OR(Datos!A81="",AQ81=""),"",AR81*C81)</f>
        <v/>
      </c>
      <c r="AT81" s="12">
        <f>IF(OR(Datos!A81="",AQ81=""),"",IF(AQ81&lt;AO81,"SI",""))</f>
        <v/>
      </c>
      <c r="AU81">
        <f>IF(Datos!A81="","",IF(AT81="SI","Reponer ahora",IF(AND(AQ81&lt;&gt;"",AR81&gt;0),"Bajar "&amp;TEXT(AR81,"#,##0")&amp;" un.","En rango")))</f>
        <v/>
      </c>
    </row>
    <row r="82">
      <c r="A82">
        <f>IF(Datos!A82="","",Datos!A82)</f>
        <v/>
      </c>
      <c r="B82">
        <f>IF(Datos!A82="","",Datos!B82)</f>
        <v/>
      </c>
      <c r="C82">
        <f>IF(Datos!A82="","",IFERROR(MAX(0,N(Datos!D82)),0))</f>
        <v/>
      </c>
      <c r="D82">
        <f>IF(Datos!A82="","",IFERROR(MAX(0,N(Datos!E82)),0))</f>
        <v/>
      </c>
      <c r="E82">
        <f>IF(Datos!A82="","",IFERROR(MAX(0,N(Datos!F82)),0))</f>
        <v/>
      </c>
      <c r="F82">
        <f>IF(Datos!A82="","",IFERROR(MAX(0,N(Datos!G82)),0))</f>
        <v/>
      </c>
      <c r="G82">
        <f>IF(Datos!A82="","",IFERROR(MAX(0,N(Datos!H82)),0))</f>
        <v/>
      </c>
      <c r="H82">
        <f>IF(Datos!A82="","",IFERROR(MAX(0,N(Datos!I82)),0))</f>
        <v/>
      </c>
      <c r="J82">
        <f>IF(Datos!A82="","",IF(MAX(C$2:C$301)-MIN(C$2:C$301)&lt;0.000000001,0.5,(C82-MIN(C$2:C$301))/(MAX(C$2:C$301)-MIN(C$2:C$301)))+0.000000001)</f>
        <v/>
      </c>
      <c r="K82">
        <f>IF(Datos!A82="","",IF(MAX(D$2:D$301)-MIN(D$2:D$301)&lt;0.000000001,0.5,(D82-MIN(D$2:D$301))/(MAX(D$2:D$301)-MIN(D$2:D$301)))+0.000000001)</f>
        <v/>
      </c>
      <c r="L82">
        <f>IF(Datos!A82="","",IF(MAX(E$2:E$301)-MIN(E$2:E$301)&lt;0.000000001,0.5,(E82-MIN(E$2:E$301))/(MAX(E$2:E$301)-MIN(E$2:E$301)))+0.000000001)</f>
        <v/>
      </c>
      <c r="M82">
        <f>IF(Datos!A82="","",IF(MAX(F$2:F$301)-MIN(F$2:F$301)&lt;0.000000001,0.5,(F82-MIN(F$2:F$301))/(MAX(F$2:F$301)-MIN(F$2:F$301)))+0.000000001)</f>
        <v/>
      </c>
      <c r="N82">
        <f>IF(Datos!A82="","",IF(MAX(G$2:G$301)-MIN(G$2:G$301)&lt;0.000000001,0.5,(G82-MIN(G$2:G$301))/(MAX(G$2:G$301)-MIN(G$2:G$301)))+0.000000001)</f>
        <v/>
      </c>
      <c r="O82">
        <f>IF(Datos!A82="","",IF(MAX(H$2:H$301)-MIN(H$2:H$301)&lt;0.000000001,0.5,(H82-MIN(H$2:H$301))/(MAX(H$2:H$301)-MIN(H$2:H$301)))+0.000000001)</f>
        <v/>
      </c>
      <c r="Q82">
        <f>IF(Datos!A82="","",(J82/SUM(J$2:J$301))*LN(J82/SUM(J$2:J$301)))</f>
        <v/>
      </c>
      <c r="R82">
        <f>IF(Datos!A82="","",(K82/SUM(K$2:K$301))*LN(K82/SUM(K$2:K$301)))</f>
        <v/>
      </c>
      <c r="S82">
        <f>IF(Datos!A82="","",(L82/SUM(L$2:L$301))*LN(L82/SUM(L$2:L$301)))</f>
        <v/>
      </c>
      <c r="T82">
        <f>IF(Datos!A82="","",(M82/SUM(M$2:M$301))*LN(M82/SUM(M$2:M$301)))</f>
        <v/>
      </c>
      <c r="U82">
        <f>IF(Datos!A82="","",(N82/SUM(N$2:N$301))*LN(N82/SUM(N$2:N$301)))</f>
        <v/>
      </c>
      <c r="V82">
        <f>IF(Datos!A82="","",(O82/SUM(O$2:O$301))*LN(O82/SUM(O$2:O$301)))</f>
        <v/>
      </c>
      <c r="X82">
        <f>IF(Datos!A82="","",IF(SUMSQ(C$2:C$301)=0,0,C82/SQRT(SUMSQ(C$2:C$301)))*$BE$2)</f>
        <v/>
      </c>
      <c r="Y82">
        <f>IF(Datos!A82="","",IF(SUMSQ(D$2:D$301)=0,0,D82/SQRT(SUMSQ(D$2:D$301)))*$BE$3)</f>
        <v/>
      </c>
      <c r="Z82">
        <f>IF(Datos!A82="","",IF(SUMSQ(E$2:E$301)=0,0,E82/SQRT(SUMSQ(E$2:E$301)))*$BE$4)</f>
        <v/>
      </c>
      <c r="AA82">
        <f>IF(Datos!A82="","",IF(SUMSQ(F$2:F$301)=0,0,F82/SQRT(SUMSQ(F$2:F$301)))*$BE$5)</f>
        <v/>
      </c>
      <c r="AB82">
        <f>IF(Datos!A82="","",IF(SUMSQ(G$2:G$301)=0,0,G82/SQRT(SUMSQ(G$2:G$301)))*$BE$6)</f>
        <v/>
      </c>
      <c r="AC82">
        <f>IF(Datos!A82="","",IF(SUMSQ(H$2:H$301)=0,0,H82/SQRT(SUMSQ(H$2:H$301)))*$BE$7)</f>
        <v/>
      </c>
      <c r="AE82">
        <f>IF(Datos!A82="","",SQRT(SUMXMY2(X82:AC82,$X$303:$AC$303)))</f>
        <v/>
      </c>
      <c r="AF82">
        <f>IF(Datos!A82="","",SQRT(SUMXMY2(X82:AC82,$X$304:$AC$304)))</f>
        <v/>
      </c>
      <c r="AG82" s="11">
        <f>IF(Datos!A82="","",IF(AE82+AF82&lt;0.000000001,0.5,AF82/(AE82+AF82)))</f>
        <v/>
      </c>
      <c r="AH82">
        <f>IF(Datos!A82="","",AG82*MAX(C82*D82,1))</f>
        <v/>
      </c>
      <c r="AI82">
        <f>IF(Datos!A82="","",SUMIF($AH$2:$AH$301,"&gt;="&amp;AH82,$AH$2:$AH$301)/SUM($AH$2:$AH$301))</f>
        <v/>
      </c>
      <c r="AJ82" s="12">
        <f>IF(Datos!A82="","",IF(AI82&lt;=Parametros!$B$13,"A",IF(AI82&lt;=Parametros!$B$14,"B","C")))</f>
        <v/>
      </c>
      <c r="AK82" s="13">
        <f>IF(Datos!A82="","",VLOOKUP(AJ82,Parametros!$A$8:$C$10,2,FALSE))</f>
        <v/>
      </c>
      <c r="AL82">
        <f>IF(Datos!A82="","",VLOOKUP(AJ82,Parametros!$A$8:$C$10,3,FALSE))</f>
        <v/>
      </c>
      <c r="AM82">
        <f>IF(Datos!A82="","",NORMSINV(AK82))</f>
        <v/>
      </c>
      <c r="AN82">
        <f>IF(Datos!A82="","",D82/Parametros!$B$4)</f>
        <v/>
      </c>
      <c r="AO82">
        <f>IF(Datos!A82="","",MAX(0,ROUNDUP(AM82*(AN82*Parametros!$B$3)*SQRT((AL82+E82)),0)))</f>
        <v/>
      </c>
      <c r="AP82">
        <f>IF(Datos!A82="","",MAX(1,ROUNDUP(AN82*(AL82+E82)+AM82*(AN82*Parametros!$B$3)*SQRT((AL82+E82)),0)))</f>
        <v/>
      </c>
      <c r="AQ82">
        <f>IF(Datos!A82="","",IF(Datos!J82="","",Datos!J82))</f>
        <v/>
      </c>
      <c r="AR82">
        <f>IF(OR(Datos!A82="",AQ82=""),"",MAX(0,AQ82-AP82))</f>
        <v/>
      </c>
      <c r="AS82" s="10">
        <f>IF(OR(Datos!A82="",AQ82=""),"",AR82*C82)</f>
        <v/>
      </c>
      <c r="AT82" s="12">
        <f>IF(OR(Datos!A82="",AQ82=""),"",IF(AQ82&lt;AO82,"SI",""))</f>
        <v/>
      </c>
      <c r="AU82">
        <f>IF(Datos!A82="","",IF(AT82="SI","Reponer ahora",IF(AND(AQ82&lt;&gt;"",AR82&gt;0),"Bajar "&amp;TEXT(AR82,"#,##0")&amp;" un.","En rango")))</f>
        <v/>
      </c>
    </row>
    <row r="83">
      <c r="A83">
        <f>IF(Datos!A83="","",Datos!A83)</f>
        <v/>
      </c>
      <c r="B83">
        <f>IF(Datos!A83="","",Datos!B83)</f>
        <v/>
      </c>
      <c r="C83">
        <f>IF(Datos!A83="","",IFERROR(MAX(0,N(Datos!D83)),0))</f>
        <v/>
      </c>
      <c r="D83">
        <f>IF(Datos!A83="","",IFERROR(MAX(0,N(Datos!E83)),0))</f>
        <v/>
      </c>
      <c r="E83">
        <f>IF(Datos!A83="","",IFERROR(MAX(0,N(Datos!F83)),0))</f>
        <v/>
      </c>
      <c r="F83">
        <f>IF(Datos!A83="","",IFERROR(MAX(0,N(Datos!G83)),0))</f>
        <v/>
      </c>
      <c r="G83">
        <f>IF(Datos!A83="","",IFERROR(MAX(0,N(Datos!H83)),0))</f>
        <v/>
      </c>
      <c r="H83">
        <f>IF(Datos!A83="","",IFERROR(MAX(0,N(Datos!I83)),0))</f>
        <v/>
      </c>
      <c r="J83">
        <f>IF(Datos!A83="","",IF(MAX(C$2:C$301)-MIN(C$2:C$301)&lt;0.000000001,0.5,(C83-MIN(C$2:C$301))/(MAX(C$2:C$301)-MIN(C$2:C$301)))+0.000000001)</f>
        <v/>
      </c>
      <c r="K83">
        <f>IF(Datos!A83="","",IF(MAX(D$2:D$301)-MIN(D$2:D$301)&lt;0.000000001,0.5,(D83-MIN(D$2:D$301))/(MAX(D$2:D$301)-MIN(D$2:D$301)))+0.000000001)</f>
        <v/>
      </c>
      <c r="L83">
        <f>IF(Datos!A83="","",IF(MAX(E$2:E$301)-MIN(E$2:E$301)&lt;0.000000001,0.5,(E83-MIN(E$2:E$301))/(MAX(E$2:E$301)-MIN(E$2:E$301)))+0.000000001)</f>
        <v/>
      </c>
      <c r="M83">
        <f>IF(Datos!A83="","",IF(MAX(F$2:F$301)-MIN(F$2:F$301)&lt;0.000000001,0.5,(F83-MIN(F$2:F$301))/(MAX(F$2:F$301)-MIN(F$2:F$301)))+0.000000001)</f>
        <v/>
      </c>
      <c r="N83">
        <f>IF(Datos!A83="","",IF(MAX(G$2:G$301)-MIN(G$2:G$301)&lt;0.000000001,0.5,(G83-MIN(G$2:G$301))/(MAX(G$2:G$301)-MIN(G$2:G$301)))+0.000000001)</f>
        <v/>
      </c>
      <c r="O83">
        <f>IF(Datos!A83="","",IF(MAX(H$2:H$301)-MIN(H$2:H$301)&lt;0.000000001,0.5,(H83-MIN(H$2:H$301))/(MAX(H$2:H$301)-MIN(H$2:H$301)))+0.000000001)</f>
        <v/>
      </c>
      <c r="Q83">
        <f>IF(Datos!A83="","",(J83/SUM(J$2:J$301))*LN(J83/SUM(J$2:J$301)))</f>
        <v/>
      </c>
      <c r="R83">
        <f>IF(Datos!A83="","",(K83/SUM(K$2:K$301))*LN(K83/SUM(K$2:K$301)))</f>
        <v/>
      </c>
      <c r="S83">
        <f>IF(Datos!A83="","",(L83/SUM(L$2:L$301))*LN(L83/SUM(L$2:L$301)))</f>
        <v/>
      </c>
      <c r="T83">
        <f>IF(Datos!A83="","",(M83/SUM(M$2:M$301))*LN(M83/SUM(M$2:M$301)))</f>
        <v/>
      </c>
      <c r="U83">
        <f>IF(Datos!A83="","",(N83/SUM(N$2:N$301))*LN(N83/SUM(N$2:N$301)))</f>
        <v/>
      </c>
      <c r="V83">
        <f>IF(Datos!A83="","",(O83/SUM(O$2:O$301))*LN(O83/SUM(O$2:O$301)))</f>
        <v/>
      </c>
      <c r="X83">
        <f>IF(Datos!A83="","",IF(SUMSQ(C$2:C$301)=0,0,C83/SQRT(SUMSQ(C$2:C$301)))*$BE$2)</f>
        <v/>
      </c>
      <c r="Y83">
        <f>IF(Datos!A83="","",IF(SUMSQ(D$2:D$301)=0,0,D83/SQRT(SUMSQ(D$2:D$301)))*$BE$3)</f>
        <v/>
      </c>
      <c r="Z83">
        <f>IF(Datos!A83="","",IF(SUMSQ(E$2:E$301)=0,0,E83/SQRT(SUMSQ(E$2:E$301)))*$BE$4)</f>
        <v/>
      </c>
      <c r="AA83">
        <f>IF(Datos!A83="","",IF(SUMSQ(F$2:F$301)=0,0,F83/SQRT(SUMSQ(F$2:F$301)))*$BE$5)</f>
        <v/>
      </c>
      <c r="AB83">
        <f>IF(Datos!A83="","",IF(SUMSQ(G$2:G$301)=0,0,G83/SQRT(SUMSQ(G$2:G$301)))*$BE$6)</f>
        <v/>
      </c>
      <c r="AC83">
        <f>IF(Datos!A83="","",IF(SUMSQ(H$2:H$301)=0,0,H83/SQRT(SUMSQ(H$2:H$301)))*$BE$7)</f>
        <v/>
      </c>
      <c r="AE83">
        <f>IF(Datos!A83="","",SQRT(SUMXMY2(X83:AC83,$X$303:$AC$303)))</f>
        <v/>
      </c>
      <c r="AF83">
        <f>IF(Datos!A83="","",SQRT(SUMXMY2(X83:AC83,$X$304:$AC$304)))</f>
        <v/>
      </c>
      <c r="AG83" s="11">
        <f>IF(Datos!A83="","",IF(AE83+AF83&lt;0.000000001,0.5,AF83/(AE83+AF83)))</f>
        <v/>
      </c>
      <c r="AH83">
        <f>IF(Datos!A83="","",AG83*MAX(C83*D83,1))</f>
        <v/>
      </c>
      <c r="AI83">
        <f>IF(Datos!A83="","",SUMIF($AH$2:$AH$301,"&gt;="&amp;AH83,$AH$2:$AH$301)/SUM($AH$2:$AH$301))</f>
        <v/>
      </c>
      <c r="AJ83" s="12">
        <f>IF(Datos!A83="","",IF(AI83&lt;=Parametros!$B$13,"A",IF(AI83&lt;=Parametros!$B$14,"B","C")))</f>
        <v/>
      </c>
      <c r="AK83" s="13">
        <f>IF(Datos!A83="","",VLOOKUP(AJ83,Parametros!$A$8:$C$10,2,FALSE))</f>
        <v/>
      </c>
      <c r="AL83">
        <f>IF(Datos!A83="","",VLOOKUP(AJ83,Parametros!$A$8:$C$10,3,FALSE))</f>
        <v/>
      </c>
      <c r="AM83">
        <f>IF(Datos!A83="","",NORMSINV(AK83))</f>
        <v/>
      </c>
      <c r="AN83">
        <f>IF(Datos!A83="","",D83/Parametros!$B$4)</f>
        <v/>
      </c>
      <c r="AO83">
        <f>IF(Datos!A83="","",MAX(0,ROUNDUP(AM83*(AN83*Parametros!$B$3)*SQRT((AL83+E83)),0)))</f>
        <v/>
      </c>
      <c r="AP83">
        <f>IF(Datos!A83="","",MAX(1,ROUNDUP(AN83*(AL83+E83)+AM83*(AN83*Parametros!$B$3)*SQRT((AL83+E83)),0)))</f>
        <v/>
      </c>
      <c r="AQ83">
        <f>IF(Datos!A83="","",IF(Datos!J83="","",Datos!J83))</f>
        <v/>
      </c>
      <c r="AR83">
        <f>IF(OR(Datos!A83="",AQ83=""),"",MAX(0,AQ83-AP83))</f>
        <v/>
      </c>
      <c r="AS83" s="10">
        <f>IF(OR(Datos!A83="",AQ83=""),"",AR83*C83)</f>
        <v/>
      </c>
      <c r="AT83" s="12">
        <f>IF(OR(Datos!A83="",AQ83=""),"",IF(AQ83&lt;AO83,"SI",""))</f>
        <v/>
      </c>
      <c r="AU83">
        <f>IF(Datos!A83="","",IF(AT83="SI","Reponer ahora",IF(AND(AQ83&lt;&gt;"",AR83&gt;0),"Bajar "&amp;TEXT(AR83,"#,##0")&amp;" un.","En rango")))</f>
        <v/>
      </c>
    </row>
    <row r="84">
      <c r="A84">
        <f>IF(Datos!A84="","",Datos!A84)</f>
        <v/>
      </c>
      <c r="B84">
        <f>IF(Datos!A84="","",Datos!B84)</f>
        <v/>
      </c>
      <c r="C84">
        <f>IF(Datos!A84="","",IFERROR(MAX(0,N(Datos!D84)),0))</f>
        <v/>
      </c>
      <c r="D84">
        <f>IF(Datos!A84="","",IFERROR(MAX(0,N(Datos!E84)),0))</f>
        <v/>
      </c>
      <c r="E84">
        <f>IF(Datos!A84="","",IFERROR(MAX(0,N(Datos!F84)),0))</f>
        <v/>
      </c>
      <c r="F84">
        <f>IF(Datos!A84="","",IFERROR(MAX(0,N(Datos!G84)),0))</f>
        <v/>
      </c>
      <c r="G84">
        <f>IF(Datos!A84="","",IFERROR(MAX(0,N(Datos!H84)),0))</f>
        <v/>
      </c>
      <c r="H84">
        <f>IF(Datos!A84="","",IFERROR(MAX(0,N(Datos!I84)),0))</f>
        <v/>
      </c>
      <c r="J84">
        <f>IF(Datos!A84="","",IF(MAX(C$2:C$301)-MIN(C$2:C$301)&lt;0.000000001,0.5,(C84-MIN(C$2:C$301))/(MAX(C$2:C$301)-MIN(C$2:C$301)))+0.000000001)</f>
        <v/>
      </c>
      <c r="K84">
        <f>IF(Datos!A84="","",IF(MAX(D$2:D$301)-MIN(D$2:D$301)&lt;0.000000001,0.5,(D84-MIN(D$2:D$301))/(MAX(D$2:D$301)-MIN(D$2:D$301)))+0.000000001)</f>
        <v/>
      </c>
      <c r="L84">
        <f>IF(Datos!A84="","",IF(MAX(E$2:E$301)-MIN(E$2:E$301)&lt;0.000000001,0.5,(E84-MIN(E$2:E$301))/(MAX(E$2:E$301)-MIN(E$2:E$301)))+0.000000001)</f>
        <v/>
      </c>
      <c r="M84">
        <f>IF(Datos!A84="","",IF(MAX(F$2:F$301)-MIN(F$2:F$301)&lt;0.000000001,0.5,(F84-MIN(F$2:F$301))/(MAX(F$2:F$301)-MIN(F$2:F$301)))+0.000000001)</f>
        <v/>
      </c>
      <c r="N84">
        <f>IF(Datos!A84="","",IF(MAX(G$2:G$301)-MIN(G$2:G$301)&lt;0.000000001,0.5,(G84-MIN(G$2:G$301))/(MAX(G$2:G$301)-MIN(G$2:G$301)))+0.000000001)</f>
        <v/>
      </c>
      <c r="O84">
        <f>IF(Datos!A84="","",IF(MAX(H$2:H$301)-MIN(H$2:H$301)&lt;0.000000001,0.5,(H84-MIN(H$2:H$301))/(MAX(H$2:H$301)-MIN(H$2:H$301)))+0.000000001)</f>
        <v/>
      </c>
      <c r="Q84">
        <f>IF(Datos!A84="","",(J84/SUM(J$2:J$301))*LN(J84/SUM(J$2:J$301)))</f>
        <v/>
      </c>
      <c r="R84">
        <f>IF(Datos!A84="","",(K84/SUM(K$2:K$301))*LN(K84/SUM(K$2:K$301)))</f>
        <v/>
      </c>
      <c r="S84">
        <f>IF(Datos!A84="","",(L84/SUM(L$2:L$301))*LN(L84/SUM(L$2:L$301)))</f>
        <v/>
      </c>
      <c r="T84">
        <f>IF(Datos!A84="","",(M84/SUM(M$2:M$301))*LN(M84/SUM(M$2:M$301)))</f>
        <v/>
      </c>
      <c r="U84">
        <f>IF(Datos!A84="","",(N84/SUM(N$2:N$301))*LN(N84/SUM(N$2:N$301)))</f>
        <v/>
      </c>
      <c r="V84">
        <f>IF(Datos!A84="","",(O84/SUM(O$2:O$301))*LN(O84/SUM(O$2:O$301)))</f>
        <v/>
      </c>
      <c r="X84">
        <f>IF(Datos!A84="","",IF(SUMSQ(C$2:C$301)=0,0,C84/SQRT(SUMSQ(C$2:C$301)))*$BE$2)</f>
        <v/>
      </c>
      <c r="Y84">
        <f>IF(Datos!A84="","",IF(SUMSQ(D$2:D$301)=0,0,D84/SQRT(SUMSQ(D$2:D$301)))*$BE$3)</f>
        <v/>
      </c>
      <c r="Z84">
        <f>IF(Datos!A84="","",IF(SUMSQ(E$2:E$301)=0,0,E84/SQRT(SUMSQ(E$2:E$301)))*$BE$4)</f>
        <v/>
      </c>
      <c r="AA84">
        <f>IF(Datos!A84="","",IF(SUMSQ(F$2:F$301)=0,0,F84/SQRT(SUMSQ(F$2:F$301)))*$BE$5)</f>
        <v/>
      </c>
      <c r="AB84">
        <f>IF(Datos!A84="","",IF(SUMSQ(G$2:G$301)=0,0,G84/SQRT(SUMSQ(G$2:G$301)))*$BE$6)</f>
        <v/>
      </c>
      <c r="AC84">
        <f>IF(Datos!A84="","",IF(SUMSQ(H$2:H$301)=0,0,H84/SQRT(SUMSQ(H$2:H$301)))*$BE$7)</f>
        <v/>
      </c>
      <c r="AE84">
        <f>IF(Datos!A84="","",SQRT(SUMXMY2(X84:AC84,$X$303:$AC$303)))</f>
        <v/>
      </c>
      <c r="AF84">
        <f>IF(Datos!A84="","",SQRT(SUMXMY2(X84:AC84,$X$304:$AC$304)))</f>
        <v/>
      </c>
      <c r="AG84" s="11">
        <f>IF(Datos!A84="","",IF(AE84+AF84&lt;0.000000001,0.5,AF84/(AE84+AF84)))</f>
        <v/>
      </c>
      <c r="AH84">
        <f>IF(Datos!A84="","",AG84*MAX(C84*D84,1))</f>
        <v/>
      </c>
      <c r="AI84">
        <f>IF(Datos!A84="","",SUMIF($AH$2:$AH$301,"&gt;="&amp;AH84,$AH$2:$AH$301)/SUM($AH$2:$AH$301))</f>
        <v/>
      </c>
      <c r="AJ84" s="12">
        <f>IF(Datos!A84="","",IF(AI84&lt;=Parametros!$B$13,"A",IF(AI84&lt;=Parametros!$B$14,"B","C")))</f>
        <v/>
      </c>
      <c r="AK84" s="13">
        <f>IF(Datos!A84="","",VLOOKUP(AJ84,Parametros!$A$8:$C$10,2,FALSE))</f>
        <v/>
      </c>
      <c r="AL84">
        <f>IF(Datos!A84="","",VLOOKUP(AJ84,Parametros!$A$8:$C$10,3,FALSE))</f>
        <v/>
      </c>
      <c r="AM84">
        <f>IF(Datos!A84="","",NORMSINV(AK84))</f>
        <v/>
      </c>
      <c r="AN84">
        <f>IF(Datos!A84="","",D84/Parametros!$B$4)</f>
        <v/>
      </c>
      <c r="AO84">
        <f>IF(Datos!A84="","",MAX(0,ROUNDUP(AM84*(AN84*Parametros!$B$3)*SQRT((AL84+E84)),0)))</f>
        <v/>
      </c>
      <c r="AP84">
        <f>IF(Datos!A84="","",MAX(1,ROUNDUP(AN84*(AL84+E84)+AM84*(AN84*Parametros!$B$3)*SQRT((AL84+E84)),0)))</f>
        <v/>
      </c>
      <c r="AQ84">
        <f>IF(Datos!A84="","",IF(Datos!J84="","",Datos!J84))</f>
        <v/>
      </c>
      <c r="AR84">
        <f>IF(OR(Datos!A84="",AQ84=""),"",MAX(0,AQ84-AP84))</f>
        <v/>
      </c>
      <c r="AS84" s="10">
        <f>IF(OR(Datos!A84="",AQ84=""),"",AR84*C84)</f>
        <v/>
      </c>
      <c r="AT84" s="12">
        <f>IF(OR(Datos!A84="",AQ84=""),"",IF(AQ84&lt;AO84,"SI",""))</f>
        <v/>
      </c>
      <c r="AU84">
        <f>IF(Datos!A84="","",IF(AT84="SI","Reponer ahora",IF(AND(AQ84&lt;&gt;"",AR84&gt;0),"Bajar "&amp;TEXT(AR84,"#,##0")&amp;" un.","En rango")))</f>
        <v/>
      </c>
    </row>
    <row r="85">
      <c r="A85">
        <f>IF(Datos!A85="","",Datos!A85)</f>
        <v/>
      </c>
      <c r="B85">
        <f>IF(Datos!A85="","",Datos!B85)</f>
        <v/>
      </c>
      <c r="C85">
        <f>IF(Datos!A85="","",IFERROR(MAX(0,N(Datos!D85)),0))</f>
        <v/>
      </c>
      <c r="D85">
        <f>IF(Datos!A85="","",IFERROR(MAX(0,N(Datos!E85)),0))</f>
        <v/>
      </c>
      <c r="E85">
        <f>IF(Datos!A85="","",IFERROR(MAX(0,N(Datos!F85)),0))</f>
        <v/>
      </c>
      <c r="F85">
        <f>IF(Datos!A85="","",IFERROR(MAX(0,N(Datos!G85)),0))</f>
        <v/>
      </c>
      <c r="G85">
        <f>IF(Datos!A85="","",IFERROR(MAX(0,N(Datos!H85)),0))</f>
        <v/>
      </c>
      <c r="H85">
        <f>IF(Datos!A85="","",IFERROR(MAX(0,N(Datos!I85)),0))</f>
        <v/>
      </c>
      <c r="J85">
        <f>IF(Datos!A85="","",IF(MAX(C$2:C$301)-MIN(C$2:C$301)&lt;0.000000001,0.5,(C85-MIN(C$2:C$301))/(MAX(C$2:C$301)-MIN(C$2:C$301)))+0.000000001)</f>
        <v/>
      </c>
      <c r="K85">
        <f>IF(Datos!A85="","",IF(MAX(D$2:D$301)-MIN(D$2:D$301)&lt;0.000000001,0.5,(D85-MIN(D$2:D$301))/(MAX(D$2:D$301)-MIN(D$2:D$301)))+0.000000001)</f>
        <v/>
      </c>
      <c r="L85">
        <f>IF(Datos!A85="","",IF(MAX(E$2:E$301)-MIN(E$2:E$301)&lt;0.000000001,0.5,(E85-MIN(E$2:E$301))/(MAX(E$2:E$301)-MIN(E$2:E$301)))+0.000000001)</f>
        <v/>
      </c>
      <c r="M85">
        <f>IF(Datos!A85="","",IF(MAX(F$2:F$301)-MIN(F$2:F$301)&lt;0.000000001,0.5,(F85-MIN(F$2:F$301))/(MAX(F$2:F$301)-MIN(F$2:F$301)))+0.000000001)</f>
        <v/>
      </c>
      <c r="N85">
        <f>IF(Datos!A85="","",IF(MAX(G$2:G$301)-MIN(G$2:G$301)&lt;0.000000001,0.5,(G85-MIN(G$2:G$301))/(MAX(G$2:G$301)-MIN(G$2:G$301)))+0.000000001)</f>
        <v/>
      </c>
      <c r="O85">
        <f>IF(Datos!A85="","",IF(MAX(H$2:H$301)-MIN(H$2:H$301)&lt;0.000000001,0.5,(H85-MIN(H$2:H$301))/(MAX(H$2:H$301)-MIN(H$2:H$301)))+0.000000001)</f>
        <v/>
      </c>
      <c r="Q85">
        <f>IF(Datos!A85="","",(J85/SUM(J$2:J$301))*LN(J85/SUM(J$2:J$301)))</f>
        <v/>
      </c>
      <c r="R85">
        <f>IF(Datos!A85="","",(K85/SUM(K$2:K$301))*LN(K85/SUM(K$2:K$301)))</f>
        <v/>
      </c>
      <c r="S85">
        <f>IF(Datos!A85="","",(L85/SUM(L$2:L$301))*LN(L85/SUM(L$2:L$301)))</f>
        <v/>
      </c>
      <c r="T85">
        <f>IF(Datos!A85="","",(M85/SUM(M$2:M$301))*LN(M85/SUM(M$2:M$301)))</f>
        <v/>
      </c>
      <c r="U85">
        <f>IF(Datos!A85="","",(N85/SUM(N$2:N$301))*LN(N85/SUM(N$2:N$301)))</f>
        <v/>
      </c>
      <c r="V85">
        <f>IF(Datos!A85="","",(O85/SUM(O$2:O$301))*LN(O85/SUM(O$2:O$301)))</f>
        <v/>
      </c>
      <c r="X85">
        <f>IF(Datos!A85="","",IF(SUMSQ(C$2:C$301)=0,0,C85/SQRT(SUMSQ(C$2:C$301)))*$BE$2)</f>
        <v/>
      </c>
      <c r="Y85">
        <f>IF(Datos!A85="","",IF(SUMSQ(D$2:D$301)=0,0,D85/SQRT(SUMSQ(D$2:D$301)))*$BE$3)</f>
        <v/>
      </c>
      <c r="Z85">
        <f>IF(Datos!A85="","",IF(SUMSQ(E$2:E$301)=0,0,E85/SQRT(SUMSQ(E$2:E$301)))*$BE$4)</f>
        <v/>
      </c>
      <c r="AA85">
        <f>IF(Datos!A85="","",IF(SUMSQ(F$2:F$301)=0,0,F85/SQRT(SUMSQ(F$2:F$301)))*$BE$5)</f>
        <v/>
      </c>
      <c r="AB85">
        <f>IF(Datos!A85="","",IF(SUMSQ(G$2:G$301)=0,0,G85/SQRT(SUMSQ(G$2:G$301)))*$BE$6)</f>
        <v/>
      </c>
      <c r="AC85">
        <f>IF(Datos!A85="","",IF(SUMSQ(H$2:H$301)=0,0,H85/SQRT(SUMSQ(H$2:H$301)))*$BE$7)</f>
        <v/>
      </c>
      <c r="AE85">
        <f>IF(Datos!A85="","",SQRT(SUMXMY2(X85:AC85,$X$303:$AC$303)))</f>
        <v/>
      </c>
      <c r="AF85">
        <f>IF(Datos!A85="","",SQRT(SUMXMY2(X85:AC85,$X$304:$AC$304)))</f>
        <v/>
      </c>
      <c r="AG85" s="11">
        <f>IF(Datos!A85="","",IF(AE85+AF85&lt;0.000000001,0.5,AF85/(AE85+AF85)))</f>
        <v/>
      </c>
      <c r="AH85">
        <f>IF(Datos!A85="","",AG85*MAX(C85*D85,1))</f>
        <v/>
      </c>
      <c r="AI85">
        <f>IF(Datos!A85="","",SUMIF($AH$2:$AH$301,"&gt;="&amp;AH85,$AH$2:$AH$301)/SUM($AH$2:$AH$301))</f>
        <v/>
      </c>
      <c r="AJ85" s="12">
        <f>IF(Datos!A85="","",IF(AI85&lt;=Parametros!$B$13,"A",IF(AI85&lt;=Parametros!$B$14,"B","C")))</f>
        <v/>
      </c>
      <c r="AK85" s="13">
        <f>IF(Datos!A85="","",VLOOKUP(AJ85,Parametros!$A$8:$C$10,2,FALSE))</f>
        <v/>
      </c>
      <c r="AL85">
        <f>IF(Datos!A85="","",VLOOKUP(AJ85,Parametros!$A$8:$C$10,3,FALSE))</f>
        <v/>
      </c>
      <c r="AM85">
        <f>IF(Datos!A85="","",NORMSINV(AK85))</f>
        <v/>
      </c>
      <c r="AN85">
        <f>IF(Datos!A85="","",D85/Parametros!$B$4)</f>
        <v/>
      </c>
      <c r="AO85">
        <f>IF(Datos!A85="","",MAX(0,ROUNDUP(AM85*(AN85*Parametros!$B$3)*SQRT((AL85+E85)),0)))</f>
        <v/>
      </c>
      <c r="AP85">
        <f>IF(Datos!A85="","",MAX(1,ROUNDUP(AN85*(AL85+E85)+AM85*(AN85*Parametros!$B$3)*SQRT((AL85+E85)),0)))</f>
        <v/>
      </c>
      <c r="AQ85">
        <f>IF(Datos!A85="","",IF(Datos!J85="","",Datos!J85))</f>
        <v/>
      </c>
      <c r="AR85">
        <f>IF(OR(Datos!A85="",AQ85=""),"",MAX(0,AQ85-AP85))</f>
        <v/>
      </c>
      <c r="AS85" s="10">
        <f>IF(OR(Datos!A85="",AQ85=""),"",AR85*C85)</f>
        <v/>
      </c>
      <c r="AT85" s="12">
        <f>IF(OR(Datos!A85="",AQ85=""),"",IF(AQ85&lt;AO85,"SI",""))</f>
        <v/>
      </c>
      <c r="AU85">
        <f>IF(Datos!A85="","",IF(AT85="SI","Reponer ahora",IF(AND(AQ85&lt;&gt;"",AR85&gt;0),"Bajar "&amp;TEXT(AR85,"#,##0")&amp;" un.","En rango")))</f>
        <v/>
      </c>
    </row>
    <row r="86">
      <c r="A86">
        <f>IF(Datos!A86="","",Datos!A86)</f>
        <v/>
      </c>
      <c r="B86">
        <f>IF(Datos!A86="","",Datos!B86)</f>
        <v/>
      </c>
      <c r="C86">
        <f>IF(Datos!A86="","",IFERROR(MAX(0,N(Datos!D86)),0))</f>
        <v/>
      </c>
      <c r="D86">
        <f>IF(Datos!A86="","",IFERROR(MAX(0,N(Datos!E86)),0))</f>
        <v/>
      </c>
      <c r="E86">
        <f>IF(Datos!A86="","",IFERROR(MAX(0,N(Datos!F86)),0))</f>
        <v/>
      </c>
      <c r="F86">
        <f>IF(Datos!A86="","",IFERROR(MAX(0,N(Datos!G86)),0))</f>
        <v/>
      </c>
      <c r="G86">
        <f>IF(Datos!A86="","",IFERROR(MAX(0,N(Datos!H86)),0))</f>
        <v/>
      </c>
      <c r="H86">
        <f>IF(Datos!A86="","",IFERROR(MAX(0,N(Datos!I86)),0))</f>
        <v/>
      </c>
      <c r="J86">
        <f>IF(Datos!A86="","",IF(MAX(C$2:C$301)-MIN(C$2:C$301)&lt;0.000000001,0.5,(C86-MIN(C$2:C$301))/(MAX(C$2:C$301)-MIN(C$2:C$301)))+0.000000001)</f>
        <v/>
      </c>
      <c r="K86">
        <f>IF(Datos!A86="","",IF(MAX(D$2:D$301)-MIN(D$2:D$301)&lt;0.000000001,0.5,(D86-MIN(D$2:D$301))/(MAX(D$2:D$301)-MIN(D$2:D$301)))+0.000000001)</f>
        <v/>
      </c>
      <c r="L86">
        <f>IF(Datos!A86="","",IF(MAX(E$2:E$301)-MIN(E$2:E$301)&lt;0.000000001,0.5,(E86-MIN(E$2:E$301))/(MAX(E$2:E$301)-MIN(E$2:E$301)))+0.000000001)</f>
        <v/>
      </c>
      <c r="M86">
        <f>IF(Datos!A86="","",IF(MAX(F$2:F$301)-MIN(F$2:F$301)&lt;0.000000001,0.5,(F86-MIN(F$2:F$301))/(MAX(F$2:F$301)-MIN(F$2:F$301)))+0.000000001)</f>
        <v/>
      </c>
      <c r="N86">
        <f>IF(Datos!A86="","",IF(MAX(G$2:G$301)-MIN(G$2:G$301)&lt;0.000000001,0.5,(G86-MIN(G$2:G$301))/(MAX(G$2:G$301)-MIN(G$2:G$301)))+0.000000001)</f>
        <v/>
      </c>
      <c r="O86">
        <f>IF(Datos!A86="","",IF(MAX(H$2:H$301)-MIN(H$2:H$301)&lt;0.000000001,0.5,(H86-MIN(H$2:H$301))/(MAX(H$2:H$301)-MIN(H$2:H$301)))+0.000000001)</f>
        <v/>
      </c>
      <c r="Q86">
        <f>IF(Datos!A86="","",(J86/SUM(J$2:J$301))*LN(J86/SUM(J$2:J$301)))</f>
        <v/>
      </c>
      <c r="R86">
        <f>IF(Datos!A86="","",(K86/SUM(K$2:K$301))*LN(K86/SUM(K$2:K$301)))</f>
        <v/>
      </c>
      <c r="S86">
        <f>IF(Datos!A86="","",(L86/SUM(L$2:L$301))*LN(L86/SUM(L$2:L$301)))</f>
        <v/>
      </c>
      <c r="T86">
        <f>IF(Datos!A86="","",(M86/SUM(M$2:M$301))*LN(M86/SUM(M$2:M$301)))</f>
        <v/>
      </c>
      <c r="U86">
        <f>IF(Datos!A86="","",(N86/SUM(N$2:N$301))*LN(N86/SUM(N$2:N$301)))</f>
        <v/>
      </c>
      <c r="V86">
        <f>IF(Datos!A86="","",(O86/SUM(O$2:O$301))*LN(O86/SUM(O$2:O$301)))</f>
        <v/>
      </c>
      <c r="X86">
        <f>IF(Datos!A86="","",IF(SUMSQ(C$2:C$301)=0,0,C86/SQRT(SUMSQ(C$2:C$301)))*$BE$2)</f>
        <v/>
      </c>
      <c r="Y86">
        <f>IF(Datos!A86="","",IF(SUMSQ(D$2:D$301)=0,0,D86/SQRT(SUMSQ(D$2:D$301)))*$BE$3)</f>
        <v/>
      </c>
      <c r="Z86">
        <f>IF(Datos!A86="","",IF(SUMSQ(E$2:E$301)=0,0,E86/SQRT(SUMSQ(E$2:E$301)))*$BE$4)</f>
        <v/>
      </c>
      <c r="AA86">
        <f>IF(Datos!A86="","",IF(SUMSQ(F$2:F$301)=0,0,F86/SQRT(SUMSQ(F$2:F$301)))*$BE$5)</f>
        <v/>
      </c>
      <c r="AB86">
        <f>IF(Datos!A86="","",IF(SUMSQ(G$2:G$301)=0,0,G86/SQRT(SUMSQ(G$2:G$301)))*$BE$6)</f>
        <v/>
      </c>
      <c r="AC86">
        <f>IF(Datos!A86="","",IF(SUMSQ(H$2:H$301)=0,0,H86/SQRT(SUMSQ(H$2:H$301)))*$BE$7)</f>
        <v/>
      </c>
      <c r="AE86">
        <f>IF(Datos!A86="","",SQRT(SUMXMY2(X86:AC86,$X$303:$AC$303)))</f>
        <v/>
      </c>
      <c r="AF86">
        <f>IF(Datos!A86="","",SQRT(SUMXMY2(X86:AC86,$X$304:$AC$304)))</f>
        <v/>
      </c>
      <c r="AG86" s="11">
        <f>IF(Datos!A86="","",IF(AE86+AF86&lt;0.000000001,0.5,AF86/(AE86+AF86)))</f>
        <v/>
      </c>
      <c r="AH86">
        <f>IF(Datos!A86="","",AG86*MAX(C86*D86,1))</f>
        <v/>
      </c>
      <c r="AI86">
        <f>IF(Datos!A86="","",SUMIF($AH$2:$AH$301,"&gt;="&amp;AH86,$AH$2:$AH$301)/SUM($AH$2:$AH$301))</f>
        <v/>
      </c>
      <c r="AJ86" s="12">
        <f>IF(Datos!A86="","",IF(AI86&lt;=Parametros!$B$13,"A",IF(AI86&lt;=Parametros!$B$14,"B","C")))</f>
        <v/>
      </c>
      <c r="AK86" s="13">
        <f>IF(Datos!A86="","",VLOOKUP(AJ86,Parametros!$A$8:$C$10,2,FALSE))</f>
        <v/>
      </c>
      <c r="AL86">
        <f>IF(Datos!A86="","",VLOOKUP(AJ86,Parametros!$A$8:$C$10,3,FALSE))</f>
        <v/>
      </c>
      <c r="AM86">
        <f>IF(Datos!A86="","",NORMSINV(AK86))</f>
        <v/>
      </c>
      <c r="AN86">
        <f>IF(Datos!A86="","",D86/Parametros!$B$4)</f>
        <v/>
      </c>
      <c r="AO86">
        <f>IF(Datos!A86="","",MAX(0,ROUNDUP(AM86*(AN86*Parametros!$B$3)*SQRT((AL86+E86)),0)))</f>
        <v/>
      </c>
      <c r="AP86">
        <f>IF(Datos!A86="","",MAX(1,ROUNDUP(AN86*(AL86+E86)+AM86*(AN86*Parametros!$B$3)*SQRT((AL86+E86)),0)))</f>
        <v/>
      </c>
      <c r="AQ86">
        <f>IF(Datos!A86="","",IF(Datos!J86="","",Datos!J86))</f>
        <v/>
      </c>
      <c r="AR86">
        <f>IF(OR(Datos!A86="",AQ86=""),"",MAX(0,AQ86-AP86))</f>
        <v/>
      </c>
      <c r="AS86" s="10">
        <f>IF(OR(Datos!A86="",AQ86=""),"",AR86*C86)</f>
        <v/>
      </c>
      <c r="AT86" s="12">
        <f>IF(OR(Datos!A86="",AQ86=""),"",IF(AQ86&lt;AO86,"SI",""))</f>
        <v/>
      </c>
      <c r="AU86">
        <f>IF(Datos!A86="","",IF(AT86="SI","Reponer ahora",IF(AND(AQ86&lt;&gt;"",AR86&gt;0),"Bajar "&amp;TEXT(AR86,"#,##0")&amp;" un.","En rango")))</f>
        <v/>
      </c>
    </row>
    <row r="87">
      <c r="A87">
        <f>IF(Datos!A87="","",Datos!A87)</f>
        <v/>
      </c>
      <c r="B87">
        <f>IF(Datos!A87="","",Datos!B87)</f>
        <v/>
      </c>
      <c r="C87">
        <f>IF(Datos!A87="","",IFERROR(MAX(0,N(Datos!D87)),0))</f>
        <v/>
      </c>
      <c r="D87">
        <f>IF(Datos!A87="","",IFERROR(MAX(0,N(Datos!E87)),0))</f>
        <v/>
      </c>
      <c r="E87">
        <f>IF(Datos!A87="","",IFERROR(MAX(0,N(Datos!F87)),0))</f>
        <v/>
      </c>
      <c r="F87">
        <f>IF(Datos!A87="","",IFERROR(MAX(0,N(Datos!G87)),0))</f>
        <v/>
      </c>
      <c r="G87">
        <f>IF(Datos!A87="","",IFERROR(MAX(0,N(Datos!H87)),0))</f>
        <v/>
      </c>
      <c r="H87">
        <f>IF(Datos!A87="","",IFERROR(MAX(0,N(Datos!I87)),0))</f>
        <v/>
      </c>
      <c r="J87">
        <f>IF(Datos!A87="","",IF(MAX(C$2:C$301)-MIN(C$2:C$301)&lt;0.000000001,0.5,(C87-MIN(C$2:C$301))/(MAX(C$2:C$301)-MIN(C$2:C$301)))+0.000000001)</f>
        <v/>
      </c>
      <c r="K87">
        <f>IF(Datos!A87="","",IF(MAX(D$2:D$301)-MIN(D$2:D$301)&lt;0.000000001,0.5,(D87-MIN(D$2:D$301))/(MAX(D$2:D$301)-MIN(D$2:D$301)))+0.000000001)</f>
        <v/>
      </c>
      <c r="L87">
        <f>IF(Datos!A87="","",IF(MAX(E$2:E$301)-MIN(E$2:E$301)&lt;0.000000001,0.5,(E87-MIN(E$2:E$301))/(MAX(E$2:E$301)-MIN(E$2:E$301)))+0.000000001)</f>
        <v/>
      </c>
      <c r="M87">
        <f>IF(Datos!A87="","",IF(MAX(F$2:F$301)-MIN(F$2:F$301)&lt;0.000000001,0.5,(F87-MIN(F$2:F$301))/(MAX(F$2:F$301)-MIN(F$2:F$301)))+0.000000001)</f>
        <v/>
      </c>
      <c r="N87">
        <f>IF(Datos!A87="","",IF(MAX(G$2:G$301)-MIN(G$2:G$301)&lt;0.000000001,0.5,(G87-MIN(G$2:G$301))/(MAX(G$2:G$301)-MIN(G$2:G$301)))+0.000000001)</f>
        <v/>
      </c>
      <c r="O87">
        <f>IF(Datos!A87="","",IF(MAX(H$2:H$301)-MIN(H$2:H$301)&lt;0.000000001,0.5,(H87-MIN(H$2:H$301))/(MAX(H$2:H$301)-MIN(H$2:H$301)))+0.000000001)</f>
        <v/>
      </c>
      <c r="Q87">
        <f>IF(Datos!A87="","",(J87/SUM(J$2:J$301))*LN(J87/SUM(J$2:J$301)))</f>
        <v/>
      </c>
      <c r="R87">
        <f>IF(Datos!A87="","",(K87/SUM(K$2:K$301))*LN(K87/SUM(K$2:K$301)))</f>
        <v/>
      </c>
      <c r="S87">
        <f>IF(Datos!A87="","",(L87/SUM(L$2:L$301))*LN(L87/SUM(L$2:L$301)))</f>
        <v/>
      </c>
      <c r="T87">
        <f>IF(Datos!A87="","",(M87/SUM(M$2:M$301))*LN(M87/SUM(M$2:M$301)))</f>
        <v/>
      </c>
      <c r="U87">
        <f>IF(Datos!A87="","",(N87/SUM(N$2:N$301))*LN(N87/SUM(N$2:N$301)))</f>
        <v/>
      </c>
      <c r="V87">
        <f>IF(Datos!A87="","",(O87/SUM(O$2:O$301))*LN(O87/SUM(O$2:O$301)))</f>
        <v/>
      </c>
      <c r="X87">
        <f>IF(Datos!A87="","",IF(SUMSQ(C$2:C$301)=0,0,C87/SQRT(SUMSQ(C$2:C$301)))*$BE$2)</f>
        <v/>
      </c>
      <c r="Y87">
        <f>IF(Datos!A87="","",IF(SUMSQ(D$2:D$301)=0,0,D87/SQRT(SUMSQ(D$2:D$301)))*$BE$3)</f>
        <v/>
      </c>
      <c r="Z87">
        <f>IF(Datos!A87="","",IF(SUMSQ(E$2:E$301)=0,0,E87/SQRT(SUMSQ(E$2:E$301)))*$BE$4)</f>
        <v/>
      </c>
      <c r="AA87">
        <f>IF(Datos!A87="","",IF(SUMSQ(F$2:F$301)=0,0,F87/SQRT(SUMSQ(F$2:F$301)))*$BE$5)</f>
        <v/>
      </c>
      <c r="AB87">
        <f>IF(Datos!A87="","",IF(SUMSQ(G$2:G$301)=0,0,G87/SQRT(SUMSQ(G$2:G$301)))*$BE$6)</f>
        <v/>
      </c>
      <c r="AC87">
        <f>IF(Datos!A87="","",IF(SUMSQ(H$2:H$301)=0,0,H87/SQRT(SUMSQ(H$2:H$301)))*$BE$7)</f>
        <v/>
      </c>
      <c r="AE87">
        <f>IF(Datos!A87="","",SQRT(SUMXMY2(X87:AC87,$X$303:$AC$303)))</f>
        <v/>
      </c>
      <c r="AF87">
        <f>IF(Datos!A87="","",SQRT(SUMXMY2(X87:AC87,$X$304:$AC$304)))</f>
        <v/>
      </c>
      <c r="AG87" s="11">
        <f>IF(Datos!A87="","",IF(AE87+AF87&lt;0.000000001,0.5,AF87/(AE87+AF87)))</f>
        <v/>
      </c>
      <c r="AH87">
        <f>IF(Datos!A87="","",AG87*MAX(C87*D87,1))</f>
        <v/>
      </c>
      <c r="AI87">
        <f>IF(Datos!A87="","",SUMIF($AH$2:$AH$301,"&gt;="&amp;AH87,$AH$2:$AH$301)/SUM($AH$2:$AH$301))</f>
        <v/>
      </c>
      <c r="AJ87" s="12">
        <f>IF(Datos!A87="","",IF(AI87&lt;=Parametros!$B$13,"A",IF(AI87&lt;=Parametros!$B$14,"B","C")))</f>
        <v/>
      </c>
      <c r="AK87" s="13">
        <f>IF(Datos!A87="","",VLOOKUP(AJ87,Parametros!$A$8:$C$10,2,FALSE))</f>
        <v/>
      </c>
      <c r="AL87">
        <f>IF(Datos!A87="","",VLOOKUP(AJ87,Parametros!$A$8:$C$10,3,FALSE))</f>
        <v/>
      </c>
      <c r="AM87">
        <f>IF(Datos!A87="","",NORMSINV(AK87))</f>
        <v/>
      </c>
      <c r="AN87">
        <f>IF(Datos!A87="","",D87/Parametros!$B$4)</f>
        <v/>
      </c>
      <c r="AO87">
        <f>IF(Datos!A87="","",MAX(0,ROUNDUP(AM87*(AN87*Parametros!$B$3)*SQRT((AL87+E87)),0)))</f>
        <v/>
      </c>
      <c r="AP87">
        <f>IF(Datos!A87="","",MAX(1,ROUNDUP(AN87*(AL87+E87)+AM87*(AN87*Parametros!$B$3)*SQRT((AL87+E87)),0)))</f>
        <v/>
      </c>
      <c r="AQ87">
        <f>IF(Datos!A87="","",IF(Datos!J87="","",Datos!J87))</f>
        <v/>
      </c>
      <c r="AR87">
        <f>IF(OR(Datos!A87="",AQ87=""),"",MAX(0,AQ87-AP87))</f>
        <v/>
      </c>
      <c r="AS87" s="10">
        <f>IF(OR(Datos!A87="",AQ87=""),"",AR87*C87)</f>
        <v/>
      </c>
      <c r="AT87" s="12">
        <f>IF(OR(Datos!A87="",AQ87=""),"",IF(AQ87&lt;AO87,"SI",""))</f>
        <v/>
      </c>
      <c r="AU87">
        <f>IF(Datos!A87="","",IF(AT87="SI","Reponer ahora",IF(AND(AQ87&lt;&gt;"",AR87&gt;0),"Bajar "&amp;TEXT(AR87,"#,##0")&amp;" un.","En rango")))</f>
        <v/>
      </c>
    </row>
    <row r="88">
      <c r="A88">
        <f>IF(Datos!A88="","",Datos!A88)</f>
        <v/>
      </c>
      <c r="B88">
        <f>IF(Datos!A88="","",Datos!B88)</f>
        <v/>
      </c>
      <c r="C88">
        <f>IF(Datos!A88="","",IFERROR(MAX(0,N(Datos!D88)),0))</f>
        <v/>
      </c>
      <c r="D88">
        <f>IF(Datos!A88="","",IFERROR(MAX(0,N(Datos!E88)),0))</f>
        <v/>
      </c>
      <c r="E88">
        <f>IF(Datos!A88="","",IFERROR(MAX(0,N(Datos!F88)),0))</f>
        <v/>
      </c>
      <c r="F88">
        <f>IF(Datos!A88="","",IFERROR(MAX(0,N(Datos!G88)),0))</f>
        <v/>
      </c>
      <c r="G88">
        <f>IF(Datos!A88="","",IFERROR(MAX(0,N(Datos!H88)),0))</f>
        <v/>
      </c>
      <c r="H88">
        <f>IF(Datos!A88="","",IFERROR(MAX(0,N(Datos!I88)),0))</f>
        <v/>
      </c>
      <c r="J88">
        <f>IF(Datos!A88="","",IF(MAX(C$2:C$301)-MIN(C$2:C$301)&lt;0.000000001,0.5,(C88-MIN(C$2:C$301))/(MAX(C$2:C$301)-MIN(C$2:C$301)))+0.000000001)</f>
        <v/>
      </c>
      <c r="K88">
        <f>IF(Datos!A88="","",IF(MAX(D$2:D$301)-MIN(D$2:D$301)&lt;0.000000001,0.5,(D88-MIN(D$2:D$301))/(MAX(D$2:D$301)-MIN(D$2:D$301)))+0.000000001)</f>
        <v/>
      </c>
      <c r="L88">
        <f>IF(Datos!A88="","",IF(MAX(E$2:E$301)-MIN(E$2:E$301)&lt;0.000000001,0.5,(E88-MIN(E$2:E$301))/(MAX(E$2:E$301)-MIN(E$2:E$301)))+0.000000001)</f>
        <v/>
      </c>
      <c r="M88">
        <f>IF(Datos!A88="","",IF(MAX(F$2:F$301)-MIN(F$2:F$301)&lt;0.000000001,0.5,(F88-MIN(F$2:F$301))/(MAX(F$2:F$301)-MIN(F$2:F$301)))+0.000000001)</f>
        <v/>
      </c>
      <c r="N88">
        <f>IF(Datos!A88="","",IF(MAX(G$2:G$301)-MIN(G$2:G$301)&lt;0.000000001,0.5,(G88-MIN(G$2:G$301))/(MAX(G$2:G$301)-MIN(G$2:G$301)))+0.000000001)</f>
        <v/>
      </c>
      <c r="O88">
        <f>IF(Datos!A88="","",IF(MAX(H$2:H$301)-MIN(H$2:H$301)&lt;0.000000001,0.5,(H88-MIN(H$2:H$301))/(MAX(H$2:H$301)-MIN(H$2:H$301)))+0.000000001)</f>
        <v/>
      </c>
      <c r="Q88">
        <f>IF(Datos!A88="","",(J88/SUM(J$2:J$301))*LN(J88/SUM(J$2:J$301)))</f>
        <v/>
      </c>
      <c r="R88">
        <f>IF(Datos!A88="","",(K88/SUM(K$2:K$301))*LN(K88/SUM(K$2:K$301)))</f>
        <v/>
      </c>
      <c r="S88">
        <f>IF(Datos!A88="","",(L88/SUM(L$2:L$301))*LN(L88/SUM(L$2:L$301)))</f>
        <v/>
      </c>
      <c r="T88">
        <f>IF(Datos!A88="","",(M88/SUM(M$2:M$301))*LN(M88/SUM(M$2:M$301)))</f>
        <v/>
      </c>
      <c r="U88">
        <f>IF(Datos!A88="","",(N88/SUM(N$2:N$301))*LN(N88/SUM(N$2:N$301)))</f>
        <v/>
      </c>
      <c r="V88">
        <f>IF(Datos!A88="","",(O88/SUM(O$2:O$301))*LN(O88/SUM(O$2:O$301)))</f>
        <v/>
      </c>
      <c r="X88">
        <f>IF(Datos!A88="","",IF(SUMSQ(C$2:C$301)=0,0,C88/SQRT(SUMSQ(C$2:C$301)))*$BE$2)</f>
        <v/>
      </c>
      <c r="Y88">
        <f>IF(Datos!A88="","",IF(SUMSQ(D$2:D$301)=0,0,D88/SQRT(SUMSQ(D$2:D$301)))*$BE$3)</f>
        <v/>
      </c>
      <c r="Z88">
        <f>IF(Datos!A88="","",IF(SUMSQ(E$2:E$301)=0,0,E88/SQRT(SUMSQ(E$2:E$301)))*$BE$4)</f>
        <v/>
      </c>
      <c r="AA88">
        <f>IF(Datos!A88="","",IF(SUMSQ(F$2:F$301)=0,0,F88/SQRT(SUMSQ(F$2:F$301)))*$BE$5)</f>
        <v/>
      </c>
      <c r="AB88">
        <f>IF(Datos!A88="","",IF(SUMSQ(G$2:G$301)=0,0,G88/SQRT(SUMSQ(G$2:G$301)))*$BE$6)</f>
        <v/>
      </c>
      <c r="AC88">
        <f>IF(Datos!A88="","",IF(SUMSQ(H$2:H$301)=0,0,H88/SQRT(SUMSQ(H$2:H$301)))*$BE$7)</f>
        <v/>
      </c>
      <c r="AE88">
        <f>IF(Datos!A88="","",SQRT(SUMXMY2(X88:AC88,$X$303:$AC$303)))</f>
        <v/>
      </c>
      <c r="AF88">
        <f>IF(Datos!A88="","",SQRT(SUMXMY2(X88:AC88,$X$304:$AC$304)))</f>
        <v/>
      </c>
      <c r="AG88" s="11">
        <f>IF(Datos!A88="","",IF(AE88+AF88&lt;0.000000001,0.5,AF88/(AE88+AF88)))</f>
        <v/>
      </c>
      <c r="AH88">
        <f>IF(Datos!A88="","",AG88*MAX(C88*D88,1))</f>
        <v/>
      </c>
      <c r="AI88">
        <f>IF(Datos!A88="","",SUMIF($AH$2:$AH$301,"&gt;="&amp;AH88,$AH$2:$AH$301)/SUM($AH$2:$AH$301))</f>
        <v/>
      </c>
      <c r="AJ88" s="12">
        <f>IF(Datos!A88="","",IF(AI88&lt;=Parametros!$B$13,"A",IF(AI88&lt;=Parametros!$B$14,"B","C")))</f>
        <v/>
      </c>
      <c r="AK88" s="13">
        <f>IF(Datos!A88="","",VLOOKUP(AJ88,Parametros!$A$8:$C$10,2,FALSE))</f>
        <v/>
      </c>
      <c r="AL88">
        <f>IF(Datos!A88="","",VLOOKUP(AJ88,Parametros!$A$8:$C$10,3,FALSE))</f>
        <v/>
      </c>
      <c r="AM88">
        <f>IF(Datos!A88="","",NORMSINV(AK88))</f>
        <v/>
      </c>
      <c r="AN88">
        <f>IF(Datos!A88="","",D88/Parametros!$B$4)</f>
        <v/>
      </c>
      <c r="AO88">
        <f>IF(Datos!A88="","",MAX(0,ROUNDUP(AM88*(AN88*Parametros!$B$3)*SQRT((AL88+E88)),0)))</f>
        <v/>
      </c>
      <c r="AP88">
        <f>IF(Datos!A88="","",MAX(1,ROUNDUP(AN88*(AL88+E88)+AM88*(AN88*Parametros!$B$3)*SQRT((AL88+E88)),0)))</f>
        <v/>
      </c>
      <c r="AQ88">
        <f>IF(Datos!A88="","",IF(Datos!J88="","",Datos!J88))</f>
        <v/>
      </c>
      <c r="AR88">
        <f>IF(OR(Datos!A88="",AQ88=""),"",MAX(0,AQ88-AP88))</f>
        <v/>
      </c>
      <c r="AS88" s="10">
        <f>IF(OR(Datos!A88="",AQ88=""),"",AR88*C88)</f>
        <v/>
      </c>
      <c r="AT88" s="12">
        <f>IF(OR(Datos!A88="",AQ88=""),"",IF(AQ88&lt;AO88,"SI",""))</f>
        <v/>
      </c>
      <c r="AU88">
        <f>IF(Datos!A88="","",IF(AT88="SI","Reponer ahora",IF(AND(AQ88&lt;&gt;"",AR88&gt;0),"Bajar "&amp;TEXT(AR88,"#,##0")&amp;" un.","En rango")))</f>
        <v/>
      </c>
    </row>
    <row r="89">
      <c r="A89">
        <f>IF(Datos!A89="","",Datos!A89)</f>
        <v/>
      </c>
      <c r="B89">
        <f>IF(Datos!A89="","",Datos!B89)</f>
        <v/>
      </c>
      <c r="C89">
        <f>IF(Datos!A89="","",IFERROR(MAX(0,N(Datos!D89)),0))</f>
        <v/>
      </c>
      <c r="D89">
        <f>IF(Datos!A89="","",IFERROR(MAX(0,N(Datos!E89)),0))</f>
        <v/>
      </c>
      <c r="E89">
        <f>IF(Datos!A89="","",IFERROR(MAX(0,N(Datos!F89)),0))</f>
        <v/>
      </c>
      <c r="F89">
        <f>IF(Datos!A89="","",IFERROR(MAX(0,N(Datos!G89)),0))</f>
        <v/>
      </c>
      <c r="G89">
        <f>IF(Datos!A89="","",IFERROR(MAX(0,N(Datos!H89)),0))</f>
        <v/>
      </c>
      <c r="H89">
        <f>IF(Datos!A89="","",IFERROR(MAX(0,N(Datos!I89)),0))</f>
        <v/>
      </c>
      <c r="J89">
        <f>IF(Datos!A89="","",IF(MAX(C$2:C$301)-MIN(C$2:C$301)&lt;0.000000001,0.5,(C89-MIN(C$2:C$301))/(MAX(C$2:C$301)-MIN(C$2:C$301)))+0.000000001)</f>
        <v/>
      </c>
      <c r="K89">
        <f>IF(Datos!A89="","",IF(MAX(D$2:D$301)-MIN(D$2:D$301)&lt;0.000000001,0.5,(D89-MIN(D$2:D$301))/(MAX(D$2:D$301)-MIN(D$2:D$301)))+0.000000001)</f>
        <v/>
      </c>
      <c r="L89">
        <f>IF(Datos!A89="","",IF(MAX(E$2:E$301)-MIN(E$2:E$301)&lt;0.000000001,0.5,(E89-MIN(E$2:E$301))/(MAX(E$2:E$301)-MIN(E$2:E$301)))+0.000000001)</f>
        <v/>
      </c>
      <c r="M89">
        <f>IF(Datos!A89="","",IF(MAX(F$2:F$301)-MIN(F$2:F$301)&lt;0.000000001,0.5,(F89-MIN(F$2:F$301))/(MAX(F$2:F$301)-MIN(F$2:F$301)))+0.000000001)</f>
        <v/>
      </c>
      <c r="N89">
        <f>IF(Datos!A89="","",IF(MAX(G$2:G$301)-MIN(G$2:G$301)&lt;0.000000001,0.5,(G89-MIN(G$2:G$301))/(MAX(G$2:G$301)-MIN(G$2:G$301)))+0.000000001)</f>
        <v/>
      </c>
      <c r="O89">
        <f>IF(Datos!A89="","",IF(MAX(H$2:H$301)-MIN(H$2:H$301)&lt;0.000000001,0.5,(H89-MIN(H$2:H$301))/(MAX(H$2:H$301)-MIN(H$2:H$301)))+0.000000001)</f>
        <v/>
      </c>
      <c r="Q89">
        <f>IF(Datos!A89="","",(J89/SUM(J$2:J$301))*LN(J89/SUM(J$2:J$301)))</f>
        <v/>
      </c>
      <c r="R89">
        <f>IF(Datos!A89="","",(K89/SUM(K$2:K$301))*LN(K89/SUM(K$2:K$301)))</f>
        <v/>
      </c>
      <c r="S89">
        <f>IF(Datos!A89="","",(L89/SUM(L$2:L$301))*LN(L89/SUM(L$2:L$301)))</f>
        <v/>
      </c>
      <c r="T89">
        <f>IF(Datos!A89="","",(M89/SUM(M$2:M$301))*LN(M89/SUM(M$2:M$301)))</f>
        <v/>
      </c>
      <c r="U89">
        <f>IF(Datos!A89="","",(N89/SUM(N$2:N$301))*LN(N89/SUM(N$2:N$301)))</f>
        <v/>
      </c>
      <c r="V89">
        <f>IF(Datos!A89="","",(O89/SUM(O$2:O$301))*LN(O89/SUM(O$2:O$301)))</f>
        <v/>
      </c>
      <c r="X89">
        <f>IF(Datos!A89="","",IF(SUMSQ(C$2:C$301)=0,0,C89/SQRT(SUMSQ(C$2:C$301)))*$BE$2)</f>
        <v/>
      </c>
      <c r="Y89">
        <f>IF(Datos!A89="","",IF(SUMSQ(D$2:D$301)=0,0,D89/SQRT(SUMSQ(D$2:D$301)))*$BE$3)</f>
        <v/>
      </c>
      <c r="Z89">
        <f>IF(Datos!A89="","",IF(SUMSQ(E$2:E$301)=0,0,E89/SQRT(SUMSQ(E$2:E$301)))*$BE$4)</f>
        <v/>
      </c>
      <c r="AA89">
        <f>IF(Datos!A89="","",IF(SUMSQ(F$2:F$301)=0,0,F89/SQRT(SUMSQ(F$2:F$301)))*$BE$5)</f>
        <v/>
      </c>
      <c r="AB89">
        <f>IF(Datos!A89="","",IF(SUMSQ(G$2:G$301)=0,0,G89/SQRT(SUMSQ(G$2:G$301)))*$BE$6)</f>
        <v/>
      </c>
      <c r="AC89">
        <f>IF(Datos!A89="","",IF(SUMSQ(H$2:H$301)=0,0,H89/SQRT(SUMSQ(H$2:H$301)))*$BE$7)</f>
        <v/>
      </c>
      <c r="AE89">
        <f>IF(Datos!A89="","",SQRT(SUMXMY2(X89:AC89,$X$303:$AC$303)))</f>
        <v/>
      </c>
      <c r="AF89">
        <f>IF(Datos!A89="","",SQRT(SUMXMY2(X89:AC89,$X$304:$AC$304)))</f>
        <v/>
      </c>
      <c r="AG89" s="11">
        <f>IF(Datos!A89="","",IF(AE89+AF89&lt;0.000000001,0.5,AF89/(AE89+AF89)))</f>
        <v/>
      </c>
      <c r="AH89">
        <f>IF(Datos!A89="","",AG89*MAX(C89*D89,1))</f>
        <v/>
      </c>
      <c r="AI89">
        <f>IF(Datos!A89="","",SUMIF($AH$2:$AH$301,"&gt;="&amp;AH89,$AH$2:$AH$301)/SUM($AH$2:$AH$301))</f>
        <v/>
      </c>
      <c r="AJ89" s="12">
        <f>IF(Datos!A89="","",IF(AI89&lt;=Parametros!$B$13,"A",IF(AI89&lt;=Parametros!$B$14,"B","C")))</f>
        <v/>
      </c>
      <c r="AK89" s="13">
        <f>IF(Datos!A89="","",VLOOKUP(AJ89,Parametros!$A$8:$C$10,2,FALSE))</f>
        <v/>
      </c>
      <c r="AL89">
        <f>IF(Datos!A89="","",VLOOKUP(AJ89,Parametros!$A$8:$C$10,3,FALSE))</f>
        <v/>
      </c>
      <c r="AM89">
        <f>IF(Datos!A89="","",NORMSINV(AK89))</f>
        <v/>
      </c>
      <c r="AN89">
        <f>IF(Datos!A89="","",D89/Parametros!$B$4)</f>
        <v/>
      </c>
      <c r="AO89">
        <f>IF(Datos!A89="","",MAX(0,ROUNDUP(AM89*(AN89*Parametros!$B$3)*SQRT((AL89+E89)),0)))</f>
        <v/>
      </c>
      <c r="AP89">
        <f>IF(Datos!A89="","",MAX(1,ROUNDUP(AN89*(AL89+E89)+AM89*(AN89*Parametros!$B$3)*SQRT((AL89+E89)),0)))</f>
        <v/>
      </c>
      <c r="AQ89">
        <f>IF(Datos!A89="","",IF(Datos!J89="","",Datos!J89))</f>
        <v/>
      </c>
      <c r="AR89">
        <f>IF(OR(Datos!A89="",AQ89=""),"",MAX(0,AQ89-AP89))</f>
        <v/>
      </c>
      <c r="AS89" s="10">
        <f>IF(OR(Datos!A89="",AQ89=""),"",AR89*C89)</f>
        <v/>
      </c>
      <c r="AT89" s="12">
        <f>IF(OR(Datos!A89="",AQ89=""),"",IF(AQ89&lt;AO89,"SI",""))</f>
        <v/>
      </c>
      <c r="AU89">
        <f>IF(Datos!A89="","",IF(AT89="SI","Reponer ahora",IF(AND(AQ89&lt;&gt;"",AR89&gt;0),"Bajar "&amp;TEXT(AR89,"#,##0")&amp;" un.","En rango")))</f>
        <v/>
      </c>
    </row>
    <row r="90">
      <c r="A90">
        <f>IF(Datos!A90="","",Datos!A90)</f>
        <v/>
      </c>
      <c r="B90">
        <f>IF(Datos!A90="","",Datos!B90)</f>
        <v/>
      </c>
      <c r="C90">
        <f>IF(Datos!A90="","",IFERROR(MAX(0,N(Datos!D90)),0))</f>
        <v/>
      </c>
      <c r="D90">
        <f>IF(Datos!A90="","",IFERROR(MAX(0,N(Datos!E90)),0))</f>
        <v/>
      </c>
      <c r="E90">
        <f>IF(Datos!A90="","",IFERROR(MAX(0,N(Datos!F90)),0))</f>
        <v/>
      </c>
      <c r="F90">
        <f>IF(Datos!A90="","",IFERROR(MAX(0,N(Datos!G90)),0))</f>
        <v/>
      </c>
      <c r="G90">
        <f>IF(Datos!A90="","",IFERROR(MAX(0,N(Datos!H90)),0))</f>
        <v/>
      </c>
      <c r="H90">
        <f>IF(Datos!A90="","",IFERROR(MAX(0,N(Datos!I90)),0))</f>
        <v/>
      </c>
      <c r="J90">
        <f>IF(Datos!A90="","",IF(MAX(C$2:C$301)-MIN(C$2:C$301)&lt;0.000000001,0.5,(C90-MIN(C$2:C$301))/(MAX(C$2:C$301)-MIN(C$2:C$301)))+0.000000001)</f>
        <v/>
      </c>
      <c r="K90">
        <f>IF(Datos!A90="","",IF(MAX(D$2:D$301)-MIN(D$2:D$301)&lt;0.000000001,0.5,(D90-MIN(D$2:D$301))/(MAX(D$2:D$301)-MIN(D$2:D$301)))+0.000000001)</f>
        <v/>
      </c>
      <c r="L90">
        <f>IF(Datos!A90="","",IF(MAX(E$2:E$301)-MIN(E$2:E$301)&lt;0.000000001,0.5,(E90-MIN(E$2:E$301))/(MAX(E$2:E$301)-MIN(E$2:E$301)))+0.000000001)</f>
        <v/>
      </c>
      <c r="M90">
        <f>IF(Datos!A90="","",IF(MAX(F$2:F$301)-MIN(F$2:F$301)&lt;0.000000001,0.5,(F90-MIN(F$2:F$301))/(MAX(F$2:F$301)-MIN(F$2:F$301)))+0.000000001)</f>
        <v/>
      </c>
      <c r="N90">
        <f>IF(Datos!A90="","",IF(MAX(G$2:G$301)-MIN(G$2:G$301)&lt;0.000000001,0.5,(G90-MIN(G$2:G$301))/(MAX(G$2:G$301)-MIN(G$2:G$301)))+0.000000001)</f>
        <v/>
      </c>
      <c r="O90">
        <f>IF(Datos!A90="","",IF(MAX(H$2:H$301)-MIN(H$2:H$301)&lt;0.000000001,0.5,(H90-MIN(H$2:H$301))/(MAX(H$2:H$301)-MIN(H$2:H$301)))+0.000000001)</f>
        <v/>
      </c>
      <c r="Q90">
        <f>IF(Datos!A90="","",(J90/SUM(J$2:J$301))*LN(J90/SUM(J$2:J$301)))</f>
        <v/>
      </c>
      <c r="R90">
        <f>IF(Datos!A90="","",(K90/SUM(K$2:K$301))*LN(K90/SUM(K$2:K$301)))</f>
        <v/>
      </c>
      <c r="S90">
        <f>IF(Datos!A90="","",(L90/SUM(L$2:L$301))*LN(L90/SUM(L$2:L$301)))</f>
        <v/>
      </c>
      <c r="T90">
        <f>IF(Datos!A90="","",(M90/SUM(M$2:M$301))*LN(M90/SUM(M$2:M$301)))</f>
        <v/>
      </c>
      <c r="U90">
        <f>IF(Datos!A90="","",(N90/SUM(N$2:N$301))*LN(N90/SUM(N$2:N$301)))</f>
        <v/>
      </c>
      <c r="V90">
        <f>IF(Datos!A90="","",(O90/SUM(O$2:O$301))*LN(O90/SUM(O$2:O$301)))</f>
        <v/>
      </c>
      <c r="X90">
        <f>IF(Datos!A90="","",IF(SUMSQ(C$2:C$301)=0,0,C90/SQRT(SUMSQ(C$2:C$301)))*$BE$2)</f>
        <v/>
      </c>
      <c r="Y90">
        <f>IF(Datos!A90="","",IF(SUMSQ(D$2:D$301)=0,0,D90/SQRT(SUMSQ(D$2:D$301)))*$BE$3)</f>
        <v/>
      </c>
      <c r="Z90">
        <f>IF(Datos!A90="","",IF(SUMSQ(E$2:E$301)=0,0,E90/SQRT(SUMSQ(E$2:E$301)))*$BE$4)</f>
        <v/>
      </c>
      <c r="AA90">
        <f>IF(Datos!A90="","",IF(SUMSQ(F$2:F$301)=0,0,F90/SQRT(SUMSQ(F$2:F$301)))*$BE$5)</f>
        <v/>
      </c>
      <c r="AB90">
        <f>IF(Datos!A90="","",IF(SUMSQ(G$2:G$301)=0,0,G90/SQRT(SUMSQ(G$2:G$301)))*$BE$6)</f>
        <v/>
      </c>
      <c r="AC90">
        <f>IF(Datos!A90="","",IF(SUMSQ(H$2:H$301)=0,0,H90/SQRT(SUMSQ(H$2:H$301)))*$BE$7)</f>
        <v/>
      </c>
      <c r="AE90">
        <f>IF(Datos!A90="","",SQRT(SUMXMY2(X90:AC90,$X$303:$AC$303)))</f>
        <v/>
      </c>
      <c r="AF90">
        <f>IF(Datos!A90="","",SQRT(SUMXMY2(X90:AC90,$X$304:$AC$304)))</f>
        <v/>
      </c>
      <c r="AG90" s="11">
        <f>IF(Datos!A90="","",IF(AE90+AF90&lt;0.000000001,0.5,AF90/(AE90+AF90)))</f>
        <v/>
      </c>
      <c r="AH90">
        <f>IF(Datos!A90="","",AG90*MAX(C90*D90,1))</f>
        <v/>
      </c>
      <c r="AI90">
        <f>IF(Datos!A90="","",SUMIF($AH$2:$AH$301,"&gt;="&amp;AH90,$AH$2:$AH$301)/SUM($AH$2:$AH$301))</f>
        <v/>
      </c>
      <c r="AJ90" s="12">
        <f>IF(Datos!A90="","",IF(AI90&lt;=Parametros!$B$13,"A",IF(AI90&lt;=Parametros!$B$14,"B","C")))</f>
        <v/>
      </c>
      <c r="AK90" s="13">
        <f>IF(Datos!A90="","",VLOOKUP(AJ90,Parametros!$A$8:$C$10,2,FALSE))</f>
        <v/>
      </c>
      <c r="AL90">
        <f>IF(Datos!A90="","",VLOOKUP(AJ90,Parametros!$A$8:$C$10,3,FALSE))</f>
        <v/>
      </c>
      <c r="AM90">
        <f>IF(Datos!A90="","",NORMSINV(AK90))</f>
        <v/>
      </c>
      <c r="AN90">
        <f>IF(Datos!A90="","",D90/Parametros!$B$4)</f>
        <v/>
      </c>
      <c r="AO90">
        <f>IF(Datos!A90="","",MAX(0,ROUNDUP(AM90*(AN90*Parametros!$B$3)*SQRT((AL90+E90)),0)))</f>
        <v/>
      </c>
      <c r="AP90">
        <f>IF(Datos!A90="","",MAX(1,ROUNDUP(AN90*(AL90+E90)+AM90*(AN90*Parametros!$B$3)*SQRT((AL90+E90)),0)))</f>
        <v/>
      </c>
      <c r="AQ90">
        <f>IF(Datos!A90="","",IF(Datos!J90="","",Datos!J90))</f>
        <v/>
      </c>
      <c r="AR90">
        <f>IF(OR(Datos!A90="",AQ90=""),"",MAX(0,AQ90-AP90))</f>
        <v/>
      </c>
      <c r="AS90" s="10">
        <f>IF(OR(Datos!A90="",AQ90=""),"",AR90*C90)</f>
        <v/>
      </c>
      <c r="AT90" s="12">
        <f>IF(OR(Datos!A90="",AQ90=""),"",IF(AQ90&lt;AO90,"SI",""))</f>
        <v/>
      </c>
      <c r="AU90">
        <f>IF(Datos!A90="","",IF(AT90="SI","Reponer ahora",IF(AND(AQ90&lt;&gt;"",AR90&gt;0),"Bajar "&amp;TEXT(AR90,"#,##0")&amp;" un.","En rango")))</f>
        <v/>
      </c>
    </row>
    <row r="91">
      <c r="A91">
        <f>IF(Datos!A91="","",Datos!A91)</f>
        <v/>
      </c>
      <c r="B91">
        <f>IF(Datos!A91="","",Datos!B91)</f>
        <v/>
      </c>
      <c r="C91">
        <f>IF(Datos!A91="","",IFERROR(MAX(0,N(Datos!D91)),0))</f>
        <v/>
      </c>
      <c r="D91">
        <f>IF(Datos!A91="","",IFERROR(MAX(0,N(Datos!E91)),0))</f>
        <v/>
      </c>
      <c r="E91">
        <f>IF(Datos!A91="","",IFERROR(MAX(0,N(Datos!F91)),0))</f>
        <v/>
      </c>
      <c r="F91">
        <f>IF(Datos!A91="","",IFERROR(MAX(0,N(Datos!G91)),0))</f>
        <v/>
      </c>
      <c r="G91">
        <f>IF(Datos!A91="","",IFERROR(MAX(0,N(Datos!H91)),0))</f>
        <v/>
      </c>
      <c r="H91">
        <f>IF(Datos!A91="","",IFERROR(MAX(0,N(Datos!I91)),0))</f>
        <v/>
      </c>
      <c r="J91">
        <f>IF(Datos!A91="","",IF(MAX(C$2:C$301)-MIN(C$2:C$301)&lt;0.000000001,0.5,(C91-MIN(C$2:C$301))/(MAX(C$2:C$301)-MIN(C$2:C$301)))+0.000000001)</f>
        <v/>
      </c>
      <c r="K91">
        <f>IF(Datos!A91="","",IF(MAX(D$2:D$301)-MIN(D$2:D$301)&lt;0.000000001,0.5,(D91-MIN(D$2:D$301))/(MAX(D$2:D$301)-MIN(D$2:D$301)))+0.000000001)</f>
        <v/>
      </c>
      <c r="L91">
        <f>IF(Datos!A91="","",IF(MAX(E$2:E$301)-MIN(E$2:E$301)&lt;0.000000001,0.5,(E91-MIN(E$2:E$301))/(MAX(E$2:E$301)-MIN(E$2:E$301)))+0.000000001)</f>
        <v/>
      </c>
      <c r="M91">
        <f>IF(Datos!A91="","",IF(MAX(F$2:F$301)-MIN(F$2:F$301)&lt;0.000000001,0.5,(F91-MIN(F$2:F$301))/(MAX(F$2:F$301)-MIN(F$2:F$301)))+0.000000001)</f>
        <v/>
      </c>
      <c r="N91">
        <f>IF(Datos!A91="","",IF(MAX(G$2:G$301)-MIN(G$2:G$301)&lt;0.000000001,0.5,(G91-MIN(G$2:G$301))/(MAX(G$2:G$301)-MIN(G$2:G$301)))+0.000000001)</f>
        <v/>
      </c>
      <c r="O91">
        <f>IF(Datos!A91="","",IF(MAX(H$2:H$301)-MIN(H$2:H$301)&lt;0.000000001,0.5,(H91-MIN(H$2:H$301))/(MAX(H$2:H$301)-MIN(H$2:H$301)))+0.000000001)</f>
        <v/>
      </c>
      <c r="Q91">
        <f>IF(Datos!A91="","",(J91/SUM(J$2:J$301))*LN(J91/SUM(J$2:J$301)))</f>
        <v/>
      </c>
      <c r="R91">
        <f>IF(Datos!A91="","",(K91/SUM(K$2:K$301))*LN(K91/SUM(K$2:K$301)))</f>
        <v/>
      </c>
      <c r="S91">
        <f>IF(Datos!A91="","",(L91/SUM(L$2:L$301))*LN(L91/SUM(L$2:L$301)))</f>
        <v/>
      </c>
      <c r="T91">
        <f>IF(Datos!A91="","",(M91/SUM(M$2:M$301))*LN(M91/SUM(M$2:M$301)))</f>
        <v/>
      </c>
      <c r="U91">
        <f>IF(Datos!A91="","",(N91/SUM(N$2:N$301))*LN(N91/SUM(N$2:N$301)))</f>
        <v/>
      </c>
      <c r="V91">
        <f>IF(Datos!A91="","",(O91/SUM(O$2:O$301))*LN(O91/SUM(O$2:O$301)))</f>
        <v/>
      </c>
      <c r="X91">
        <f>IF(Datos!A91="","",IF(SUMSQ(C$2:C$301)=0,0,C91/SQRT(SUMSQ(C$2:C$301)))*$BE$2)</f>
        <v/>
      </c>
      <c r="Y91">
        <f>IF(Datos!A91="","",IF(SUMSQ(D$2:D$301)=0,0,D91/SQRT(SUMSQ(D$2:D$301)))*$BE$3)</f>
        <v/>
      </c>
      <c r="Z91">
        <f>IF(Datos!A91="","",IF(SUMSQ(E$2:E$301)=0,0,E91/SQRT(SUMSQ(E$2:E$301)))*$BE$4)</f>
        <v/>
      </c>
      <c r="AA91">
        <f>IF(Datos!A91="","",IF(SUMSQ(F$2:F$301)=0,0,F91/SQRT(SUMSQ(F$2:F$301)))*$BE$5)</f>
        <v/>
      </c>
      <c r="AB91">
        <f>IF(Datos!A91="","",IF(SUMSQ(G$2:G$301)=0,0,G91/SQRT(SUMSQ(G$2:G$301)))*$BE$6)</f>
        <v/>
      </c>
      <c r="AC91">
        <f>IF(Datos!A91="","",IF(SUMSQ(H$2:H$301)=0,0,H91/SQRT(SUMSQ(H$2:H$301)))*$BE$7)</f>
        <v/>
      </c>
      <c r="AE91">
        <f>IF(Datos!A91="","",SQRT(SUMXMY2(X91:AC91,$X$303:$AC$303)))</f>
        <v/>
      </c>
      <c r="AF91">
        <f>IF(Datos!A91="","",SQRT(SUMXMY2(X91:AC91,$X$304:$AC$304)))</f>
        <v/>
      </c>
      <c r="AG91" s="11">
        <f>IF(Datos!A91="","",IF(AE91+AF91&lt;0.000000001,0.5,AF91/(AE91+AF91)))</f>
        <v/>
      </c>
      <c r="AH91">
        <f>IF(Datos!A91="","",AG91*MAX(C91*D91,1))</f>
        <v/>
      </c>
      <c r="AI91">
        <f>IF(Datos!A91="","",SUMIF($AH$2:$AH$301,"&gt;="&amp;AH91,$AH$2:$AH$301)/SUM($AH$2:$AH$301))</f>
        <v/>
      </c>
      <c r="AJ91" s="12">
        <f>IF(Datos!A91="","",IF(AI91&lt;=Parametros!$B$13,"A",IF(AI91&lt;=Parametros!$B$14,"B","C")))</f>
        <v/>
      </c>
      <c r="AK91" s="13">
        <f>IF(Datos!A91="","",VLOOKUP(AJ91,Parametros!$A$8:$C$10,2,FALSE))</f>
        <v/>
      </c>
      <c r="AL91">
        <f>IF(Datos!A91="","",VLOOKUP(AJ91,Parametros!$A$8:$C$10,3,FALSE))</f>
        <v/>
      </c>
      <c r="AM91">
        <f>IF(Datos!A91="","",NORMSINV(AK91))</f>
        <v/>
      </c>
      <c r="AN91">
        <f>IF(Datos!A91="","",D91/Parametros!$B$4)</f>
        <v/>
      </c>
      <c r="AO91">
        <f>IF(Datos!A91="","",MAX(0,ROUNDUP(AM91*(AN91*Parametros!$B$3)*SQRT((AL91+E91)),0)))</f>
        <v/>
      </c>
      <c r="AP91">
        <f>IF(Datos!A91="","",MAX(1,ROUNDUP(AN91*(AL91+E91)+AM91*(AN91*Parametros!$B$3)*SQRT((AL91+E91)),0)))</f>
        <v/>
      </c>
      <c r="AQ91">
        <f>IF(Datos!A91="","",IF(Datos!J91="","",Datos!J91))</f>
        <v/>
      </c>
      <c r="AR91">
        <f>IF(OR(Datos!A91="",AQ91=""),"",MAX(0,AQ91-AP91))</f>
        <v/>
      </c>
      <c r="AS91" s="10">
        <f>IF(OR(Datos!A91="",AQ91=""),"",AR91*C91)</f>
        <v/>
      </c>
      <c r="AT91" s="12">
        <f>IF(OR(Datos!A91="",AQ91=""),"",IF(AQ91&lt;AO91,"SI",""))</f>
        <v/>
      </c>
      <c r="AU91">
        <f>IF(Datos!A91="","",IF(AT91="SI","Reponer ahora",IF(AND(AQ91&lt;&gt;"",AR91&gt;0),"Bajar "&amp;TEXT(AR91,"#,##0")&amp;" un.","En rango")))</f>
        <v/>
      </c>
    </row>
    <row r="92">
      <c r="A92">
        <f>IF(Datos!A92="","",Datos!A92)</f>
        <v/>
      </c>
      <c r="B92">
        <f>IF(Datos!A92="","",Datos!B92)</f>
        <v/>
      </c>
      <c r="C92">
        <f>IF(Datos!A92="","",IFERROR(MAX(0,N(Datos!D92)),0))</f>
        <v/>
      </c>
      <c r="D92">
        <f>IF(Datos!A92="","",IFERROR(MAX(0,N(Datos!E92)),0))</f>
        <v/>
      </c>
      <c r="E92">
        <f>IF(Datos!A92="","",IFERROR(MAX(0,N(Datos!F92)),0))</f>
        <v/>
      </c>
      <c r="F92">
        <f>IF(Datos!A92="","",IFERROR(MAX(0,N(Datos!G92)),0))</f>
        <v/>
      </c>
      <c r="G92">
        <f>IF(Datos!A92="","",IFERROR(MAX(0,N(Datos!H92)),0))</f>
        <v/>
      </c>
      <c r="H92">
        <f>IF(Datos!A92="","",IFERROR(MAX(0,N(Datos!I92)),0))</f>
        <v/>
      </c>
      <c r="J92">
        <f>IF(Datos!A92="","",IF(MAX(C$2:C$301)-MIN(C$2:C$301)&lt;0.000000001,0.5,(C92-MIN(C$2:C$301))/(MAX(C$2:C$301)-MIN(C$2:C$301)))+0.000000001)</f>
        <v/>
      </c>
      <c r="K92">
        <f>IF(Datos!A92="","",IF(MAX(D$2:D$301)-MIN(D$2:D$301)&lt;0.000000001,0.5,(D92-MIN(D$2:D$301))/(MAX(D$2:D$301)-MIN(D$2:D$301)))+0.000000001)</f>
        <v/>
      </c>
      <c r="L92">
        <f>IF(Datos!A92="","",IF(MAX(E$2:E$301)-MIN(E$2:E$301)&lt;0.000000001,0.5,(E92-MIN(E$2:E$301))/(MAX(E$2:E$301)-MIN(E$2:E$301)))+0.000000001)</f>
        <v/>
      </c>
      <c r="M92">
        <f>IF(Datos!A92="","",IF(MAX(F$2:F$301)-MIN(F$2:F$301)&lt;0.000000001,0.5,(F92-MIN(F$2:F$301))/(MAX(F$2:F$301)-MIN(F$2:F$301)))+0.000000001)</f>
        <v/>
      </c>
      <c r="N92">
        <f>IF(Datos!A92="","",IF(MAX(G$2:G$301)-MIN(G$2:G$301)&lt;0.000000001,0.5,(G92-MIN(G$2:G$301))/(MAX(G$2:G$301)-MIN(G$2:G$301)))+0.000000001)</f>
        <v/>
      </c>
      <c r="O92">
        <f>IF(Datos!A92="","",IF(MAX(H$2:H$301)-MIN(H$2:H$301)&lt;0.000000001,0.5,(H92-MIN(H$2:H$301))/(MAX(H$2:H$301)-MIN(H$2:H$301)))+0.000000001)</f>
        <v/>
      </c>
      <c r="Q92">
        <f>IF(Datos!A92="","",(J92/SUM(J$2:J$301))*LN(J92/SUM(J$2:J$301)))</f>
        <v/>
      </c>
      <c r="R92">
        <f>IF(Datos!A92="","",(K92/SUM(K$2:K$301))*LN(K92/SUM(K$2:K$301)))</f>
        <v/>
      </c>
      <c r="S92">
        <f>IF(Datos!A92="","",(L92/SUM(L$2:L$301))*LN(L92/SUM(L$2:L$301)))</f>
        <v/>
      </c>
      <c r="T92">
        <f>IF(Datos!A92="","",(M92/SUM(M$2:M$301))*LN(M92/SUM(M$2:M$301)))</f>
        <v/>
      </c>
      <c r="U92">
        <f>IF(Datos!A92="","",(N92/SUM(N$2:N$301))*LN(N92/SUM(N$2:N$301)))</f>
        <v/>
      </c>
      <c r="V92">
        <f>IF(Datos!A92="","",(O92/SUM(O$2:O$301))*LN(O92/SUM(O$2:O$301)))</f>
        <v/>
      </c>
      <c r="X92">
        <f>IF(Datos!A92="","",IF(SUMSQ(C$2:C$301)=0,0,C92/SQRT(SUMSQ(C$2:C$301)))*$BE$2)</f>
        <v/>
      </c>
      <c r="Y92">
        <f>IF(Datos!A92="","",IF(SUMSQ(D$2:D$301)=0,0,D92/SQRT(SUMSQ(D$2:D$301)))*$BE$3)</f>
        <v/>
      </c>
      <c r="Z92">
        <f>IF(Datos!A92="","",IF(SUMSQ(E$2:E$301)=0,0,E92/SQRT(SUMSQ(E$2:E$301)))*$BE$4)</f>
        <v/>
      </c>
      <c r="AA92">
        <f>IF(Datos!A92="","",IF(SUMSQ(F$2:F$301)=0,0,F92/SQRT(SUMSQ(F$2:F$301)))*$BE$5)</f>
        <v/>
      </c>
      <c r="AB92">
        <f>IF(Datos!A92="","",IF(SUMSQ(G$2:G$301)=0,0,G92/SQRT(SUMSQ(G$2:G$301)))*$BE$6)</f>
        <v/>
      </c>
      <c r="AC92">
        <f>IF(Datos!A92="","",IF(SUMSQ(H$2:H$301)=0,0,H92/SQRT(SUMSQ(H$2:H$301)))*$BE$7)</f>
        <v/>
      </c>
      <c r="AE92">
        <f>IF(Datos!A92="","",SQRT(SUMXMY2(X92:AC92,$X$303:$AC$303)))</f>
        <v/>
      </c>
      <c r="AF92">
        <f>IF(Datos!A92="","",SQRT(SUMXMY2(X92:AC92,$X$304:$AC$304)))</f>
        <v/>
      </c>
      <c r="AG92" s="11">
        <f>IF(Datos!A92="","",IF(AE92+AF92&lt;0.000000001,0.5,AF92/(AE92+AF92)))</f>
        <v/>
      </c>
      <c r="AH92">
        <f>IF(Datos!A92="","",AG92*MAX(C92*D92,1))</f>
        <v/>
      </c>
      <c r="AI92">
        <f>IF(Datos!A92="","",SUMIF($AH$2:$AH$301,"&gt;="&amp;AH92,$AH$2:$AH$301)/SUM($AH$2:$AH$301))</f>
        <v/>
      </c>
      <c r="AJ92" s="12">
        <f>IF(Datos!A92="","",IF(AI92&lt;=Parametros!$B$13,"A",IF(AI92&lt;=Parametros!$B$14,"B","C")))</f>
        <v/>
      </c>
      <c r="AK92" s="13">
        <f>IF(Datos!A92="","",VLOOKUP(AJ92,Parametros!$A$8:$C$10,2,FALSE))</f>
        <v/>
      </c>
      <c r="AL92">
        <f>IF(Datos!A92="","",VLOOKUP(AJ92,Parametros!$A$8:$C$10,3,FALSE))</f>
        <v/>
      </c>
      <c r="AM92">
        <f>IF(Datos!A92="","",NORMSINV(AK92))</f>
        <v/>
      </c>
      <c r="AN92">
        <f>IF(Datos!A92="","",D92/Parametros!$B$4)</f>
        <v/>
      </c>
      <c r="AO92">
        <f>IF(Datos!A92="","",MAX(0,ROUNDUP(AM92*(AN92*Parametros!$B$3)*SQRT((AL92+E92)),0)))</f>
        <v/>
      </c>
      <c r="AP92">
        <f>IF(Datos!A92="","",MAX(1,ROUNDUP(AN92*(AL92+E92)+AM92*(AN92*Parametros!$B$3)*SQRT((AL92+E92)),0)))</f>
        <v/>
      </c>
      <c r="AQ92">
        <f>IF(Datos!A92="","",IF(Datos!J92="","",Datos!J92))</f>
        <v/>
      </c>
      <c r="AR92">
        <f>IF(OR(Datos!A92="",AQ92=""),"",MAX(0,AQ92-AP92))</f>
        <v/>
      </c>
      <c r="AS92" s="10">
        <f>IF(OR(Datos!A92="",AQ92=""),"",AR92*C92)</f>
        <v/>
      </c>
      <c r="AT92" s="12">
        <f>IF(OR(Datos!A92="",AQ92=""),"",IF(AQ92&lt;AO92,"SI",""))</f>
        <v/>
      </c>
      <c r="AU92">
        <f>IF(Datos!A92="","",IF(AT92="SI","Reponer ahora",IF(AND(AQ92&lt;&gt;"",AR92&gt;0),"Bajar "&amp;TEXT(AR92,"#,##0")&amp;" un.","En rango")))</f>
        <v/>
      </c>
    </row>
    <row r="93">
      <c r="A93">
        <f>IF(Datos!A93="","",Datos!A93)</f>
        <v/>
      </c>
      <c r="B93">
        <f>IF(Datos!A93="","",Datos!B93)</f>
        <v/>
      </c>
      <c r="C93">
        <f>IF(Datos!A93="","",IFERROR(MAX(0,N(Datos!D93)),0))</f>
        <v/>
      </c>
      <c r="D93">
        <f>IF(Datos!A93="","",IFERROR(MAX(0,N(Datos!E93)),0))</f>
        <v/>
      </c>
      <c r="E93">
        <f>IF(Datos!A93="","",IFERROR(MAX(0,N(Datos!F93)),0))</f>
        <v/>
      </c>
      <c r="F93">
        <f>IF(Datos!A93="","",IFERROR(MAX(0,N(Datos!G93)),0))</f>
        <v/>
      </c>
      <c r="G93">
        <f>IF(Datos!A93="","",IFERROR(MAX(0,N(Datos!H93)),0))</f>
        <v/>
      </c>
      <c r="H93">
        <f>IF(Datos!A93="","",IFERROR(MAX(0,N(Datos!I93)),0))</f>
        <v/>
      </c>
      <c r="J93">
        <f>IF(Datos!A93="","",IF(MAX(C$2:C$301)-MIN(C$2:C$301)&lt;0.000000001,0.5,(C93-MIN(C$2:C$301))/(MAX(C$2:C$301)-MIN(C$2:C$301)))+0.000000001)</f>
        <v/>
      </c>
      <c r="K93">
        <f>IF(Datos!A93="","",IF(MAX(D$2:D$301)-MIN(D$2:D$301)&lt;0.000000001,0.5,(D93-MIN(D$2:D$301))/(MAX(D$2:D$301)-MIN(D$2:D$301)))+0.000000001)</f>
        <v/>
      </c>
      <c r="L93">
        <f>IF(Datos!A93="","",IF(MAX(E$2:E$301)-MIN(E$2:E$301)&lt;0.000000001,0.5,(E93-MIN(E$2:E$301))/(MAX(E$2:E$301)-MIN(E$2:E$301)))+0.000000001)</f>
        <v/>
      </c>
      <c r="M93">
        <f>IF(Datos!A93="","",IF(MAX(F$2:F$301)-MIN(F$2:F$301)&lt;0.000000001,0.5,(F93-MIN(F$2:F$301))/(MAX(F$2:F$301)-MIN(F$2:F$301)))+0.000000001)</f>
        <v/>
      </c>
      <c r="N93">
        <f>IF(Datos!A93="","",IF(MAX(G$2:G$301)-MIN(G$2:G$301)&lt;0.000000001,0.5,(G93-MIN(G$2:G$301))/(MAX(G$2:G$301)-MIN(G$2:G$301)))+0.000000001)</f>
        <v/>
      </c>
      <c r="O93">
        <f>IF(Datos!A93="","",IF(MAX(H$2:H$301)-MIN(H$2:H$301)&lt;0.000000001,0.5,(H93-MIN(H$2:H$301))/(MAX(H$2:H$301)-MIN(H$2:H$301)))+0.000000001)</f>
        <v/>
      </c>
      <c r="Q93">
        <f>IF(Datos!A93="","",(J93/SUM(J$2:J$301))*LN(J93/SUM(J$2:J$301)))</f>
        <v/>
      </c>
      <c r="R93">
        <f>IF(Datos!A93="","",(K93/SUM(K$2:K$301))*LN(K93/SUM(K$2:K$301)))</f>
        <v/>
      </c>
      <c r="S93">
        <f>IF(Datos!A93="","",(L93/SUM(L$2:L$301))*LN(L93/SUM(L$2:L$301)))</f>
        <v/>
      </c>
      <c r="T93">
        <f>IF(Datos!A93="","",(M93/SUM(M$2:M$301))*LN(M93/SUM(M$2:M$301)))</f>
        <v/>
      </c>
      <c r="U93">
        <f>IF(Datos!A93="","",(N93/SUM(N$2:N$301))*LN(N93/SUM(N$2:N$301)))</f>
        <v/>
      </c>
      <c r="V93">
        <f>IF(Datos!A93="","",(O93/SUM(O$2:O$301))*LN(O93/SUM(O$2:O$301)))</f>
        <v/>
      </c>
      <c r="X93">
        <f>IF(Datos!A93="","",IF(SUMSQ(C$2:C$301)=0,0,C93/SQRT(SUMSQ(C$2:C$301)))*$BE$2)</f>
        <v/>
      </c>
      <c r="Y93">
        <f>IF(Datos!A93="","",IF(SUMSQ(D$2:D$301)=0,0,D93/SQRT(SUMSQ(D$2:D$301)))*$BE$3)</f>
        <v/>
      </c>
      <c r="Z93">
        <f>IF(Datos!A93="","",IF(SUMSQ(E$2:E$301)=0,0,E93/SQRT(SUMSQ(E$2:E$301)))*$BE$4)</f>
        <v/>
      </c>
      <c r="AA93">
        <f>IF(Datos!A93="","",IF(SUMSQ(F$2:F$301)=0,0,F93/SQRT(SUMSQ(F$2:F$301)))*$BE$5)</f>
        <v/>
      </c>
      <c r="AB93">
        <f>IF(Datos!A93="","",IF(SUMSQ(G$2:G$301)=0,0,G93/SQRT(SUMSQ(G$2:G$301)))*$BE$6)</f>
        <v/>
      </c>
      <c r="AC93">
        <f>IF(Datos!A93="","",IF(SUMSQ(H$2:H$301)=0,0,H93/SQRT(SUMSQ(H$2:H$301)))*$BE$7)</f>
        <v/>
      </c>
      <c r="AE93">
        <f>IF(Datos!A93="","",SQRT(SUMXMY2(X93:AC93,$X$303:$AC$303)))</f>
        <v/>
      </c>
      <c r="AF93">
        <f>IF(Datos!A93="","",SQRT(SUMXMY2(X93:AC93,$X$304:$AC$304)))</f>
        <v/>
      </c>
      <c r="AG93" s="11">
        <f>IF(Datos!A93="","",IF(AE93+AF93&lt;0.000000001,0.5,AF93/(AE93+AF93)))</f>
        <v/>
      </c>
      <c r="AH93">
        <f>IF(Datos!A93="","",AG93*MAX(C93*D93,1))</f>
        <v/>
      </c>
      <c r="AI93">
        <f>IF(Datos!A93="","",SUMIF($AH$2:$AH$301,"&gt;="&amp;AH93,$AH$2:$AH$301)/SUM($AH$2:$AH$301))</f>
        <v/>
      </c>
      <c r="AJ93" s="12">
        <f>IF(Datos!A93="","",IF(AI93&lt;=Parametros!$B$13,"A",IF(AI93&lt;=Parametros!$B$14,"B","C")))</f>
        <v/>
      </c>
      <c r="AK93" s="13">
        <f>IF(Datos!A93="","",VLOOKUP(AJ93,Parametros!$A$8:$C$10,2,FALSE))</f>
        <v/>
      </c>
      <c r="AL93">
        <f>IF(Datos!A93="","",VLOOKUP(AJ93,Parametros!$A$8:$C$10,3,FALSE))</f>
        <v/>
      </c>
      <c r="AM93">
        <f>IF(Datos!A93="","",NORMSINV(AK93))</f>
        <v/>
      </c>
      <c r="AN93">
        <f>IF(Datos!A93="","",D93/Parametros!$B$4)</f>
        <v/>
      </c>
      <c r="AO93">
        <f>IF(Datos!A93="","",MAX(0,ROUNDUP(AM93*(AN93*Parametros!$B$3)*SQRT((AL93+E93)),0)))</f>
        <v/>
      </c>
      <c r="AP93">
        <f>IF(Datos!A93="","",MAX(1,ROUNDUP(AN93*(AL93+E93)+AM93*(AN93*Parametros!$B$3)*SQRT((AL93+E93)),0)))</f>
        <v/>
      </c>
      <c r="AQ93">
        <f>IF(Datos!A93="","",IF(Datos!J93="","",Datos!J93))</f>
        <v/>
      </c>
      <c r="AR93">
        <f>IF(OR(Datos!A93="",AQ93=""),"",MAX(0,AQ93-AP93))</f>
        <v/>
      </c>
      <c r="AS93" s="10">
        <f>IF(OR(Datos!A93="",AQ93=""),"",AR93*C93)</f>
        <v/>
      </c>
      <c r="AT93" s="12">
        <f>IF(OR(Datos!A93="",AQ93=""),"",IF(AQ93&lt;AO93,"SI",""))</f>
        <v/>
      </c>
      <c r="AU93">
        <f>IF(Datos!A93="","",IF(AT93="SI","Reponer ahora",IF(AND(AQ93&lt;&gt;"",AR93&gt;0),"Bajar "&amp;TEXT(AR93,"#,##0")&amp;" un.","En rango")))</f>
        <v/>
      </c>
    </row>
    <row r="94">
      <c r="A94">
        <f>IF(Datos!A94="","",Datos!A94)</f>
        <v/>
      </c>
      <c r="B94">
        <f>IF(Datos!A94="","",Datos!B94)</f>
        <v/>
      </c>
      <c r="C94">
        <f>IF(Datos!A94="","",IFERROR(MAX(0,N(Datos!D94)),0))</f>
        <v/>
      </c>
      <c r="D94">
        <f>IF(Datos!A94="","",IFERROR(MAX(0,N(Datos!E94)),0))</f>
        <v/>
      </c>
      <c r="E94">
        <f>IF(Datos!A94="","",IFERROR(MAX(0,N(Datos!F94)),0))</f>
        <v/>
      </c>
      <c r="F94">
        <f>IF(Datos!A94="","",IFERROR(MAX(0,N(Datos!G94)),0))</f>
        <v/>
      </c>
      <c r="G94">
        <f>IF(Datos!A94="","",IFERROR(MAX(0,N(Datos!H94)),0))</f>
        <v/>
      </c>
      <c r="H94">
        <f>IF(Datos!A94="","",IFERROR(MAX(0,N(Datos!I94)),0))</f>
        <v/>
      </c>
      <c r="J94">
        <f>IF(Datos!A94="","",IF(MAX(C$2:C$301)-MIN(C$2:C$301)&lt;0.000000001,0.5,(C94-MIN(C$2:C$301))/(MAX(C$2:C$301)-MIN(C$2:C$301)))+0.000000001)</f>
        <v/>
      </c>
      <c r="K94">
        <f>IF(Datos!A94="","",IF(MAX(D$2:D$301)-MIN(D$2:D$301)&lt;0.000000001,0.5,(D94-MIN(D$2:D$301))/(MAX(D$2:D$301)-MIN(D$2:D$301)))+0.000000001)</f>
        <v/>
      </c>
      <c r="L94">
        <f>IF(Datos!A94="","",IF(MAX(E$2:E$301)-MIN(E$2:E$301)&lt;0.000000001,0.5,(E94-MIN(E$2:E$301))/(MAX(E$2:E$301)-MIN(E$2:E$301)))+0.000000001)</f>
        <v/>
      </c>
      <c r="M94">
        <f>IF(Datos!A94="","",IF(MAX(F$2:F$301)-MIN(F$2:F$301)&lt;0.000000001,0.5,(F94-MIN(F$2:F$301))/(MAX(F$2:F$301)-MIN(F$2:F$301)))+0.000000001)</f>
        <v/>
      </c>
      <c r="N94">
        <f>IF(Datos!A94="","",IF(MAX(G$2:G$301)-MIN(G$2:G$301)&lt;0.000000001,0.5,(G94-MIN(G$2:G$301))/(MAX(G$2:G$301)-MIN(G$2:G$301)))+0.000000001)</f>
        <v/>
      </c>
      <c r="O94">
        <f>IF(Datos!A94="","",IF(MAX(H$2:H$301)-MIN(H$2:H$301)&lt;0.000000001,0.5,(H94-MIN(H$2:H$301))/(MAX(H$2:H$301)-MIN(H$2:H$301)))+0.000000001)</f>
        <v/>
      </c>
      <c r="Q94">
        <f>IF(Datos!A94="","",(J94/SUM(J$2:J$301))*LN(J94/SUM(J$2:J$301)))</f>
        <v/>
      </c>
      <c r="R94">
        <f>IF(Datos!A94="","",(K94/SUM(K$2:K$301))*LN(K94/SUM(K$2:K$301)))</f>
        <v/>
      </c>
      <c r="S94">
        <f>IF(Datos!A94="","",(L94/SUM(L$2:L$301))*LN(L94/SUM(L$2:L$301)))</f>
        <v/>
      </c>
      <c r="T94">
        <f>IF(Datos!A94="","",(M94/SUM(M$2:M$301))*LN(M94/SUM(M$2:M$301)))</f>
        <v/>
      </c>
      <c r="U94">
        <f>IF(Datos!A94="","",(N94/SUM(N$2:N$301))*LN(N94/SUM(N$2:N$301)))</f>
        <v/>
      </c>
      <c r="V94">
        <f>IF(Datos!A94="","",(O94/SUM(O$2:O$301))*LN(O94/SUM(O$2:O$301)))</f>
        <v/>
      </c>
      <c r="X94">
        <f>IF(Datos!A94="","",IF(SUMSQ(C$2:C$301)=0,0,C94/SQRT(SUMSQ(C$2:C$301)))*$BE$2)</f>
        <v/>
      </c>
      <c r="Y94">
        <f>IF(Datos!A94="","",IF(SUMSQ(D$2:D$301)=0,0,D94/SQRT(SUMSQ(D$2:D$301)))*$BE$3)</f>
        <v/>
      </c>
      <c r="Z94">
        <f>IF(Datos!A94="","",IF(SUMSQ(E$2:E$301)=0,0,E94/SQRT(SUMSQ(E$2:E$301)))*$BE$4)</f>
        <v/>
      </c>
      <c r="AA94">
        <f>IF(Datos!A94="","",IF(SUMSQ(F$2:F$301)=0,0,F94/SQRT(SUMSQ(F$2:F$301)))*$BE$5)</f>
        <v/>
      </c>
      <c r="AB94">
        <f>IF(Datos!A94="","",IF(SUMSQ(G$2:G$301)=0,0,G94/SQRT(SUMSQ(G$2:G$301)))*$BE$6)</f>
        <v/>
      </c>
      <c r="AC94">
        <f>IF(Datos!A94="","",IF(SUMSQ(H$2:H$301)=0,0,H94/SQRT(SUMSQ(H$2:H$301)))*$BE$7)</f>
        <v/>
      </c>
      <c r="AE94">
        <f>IF(Datos!A94="","",SQRT(SUMXMY2(X94:AC94,$X$303:$AC$303)))</f>
        <v/>
      </c>
      <c r="AF94">
        <f>IF(Datos!A94="","",SQRT(SUMXMY2(X94:AC94,$X$304:$AC$304)))</f>
        <v/>
      </c>
      <c r="AG94" s="11">
        <f>IF(Datos!A94="","",IF(AE94+AF94&lt;0.000000001,0.5,AF94/(AE94+AF94)))</f>
        <v/>
      </c>
      <c r="AH94">
        <f>IF(Datos!A94="","",AG94*MAX(C94*D94,1))</f>
        <v/>
      </c>
      <c r="AI94">
        <f>IF(Datos!A94="","",SUMIF($AH$2:$AH$301,"&gt;="&amp;AH94,$AH$2:$AH$301)/SUM($AH$2:$AH$301))</f>
        <v/>
      </c>
      <c r="AJ94" s="12">
        <f>IF(Datos!A94="","",IF(AI94&lt;=Parametros!$B$13,"A",IF(AI94&lt;=Parametros!$B$14,"B","C")))</f>
        <v/>
      </c>
      <c r="AK94" s="13">
        <f>IF(Datos!A94="","",VLOOKUP(AJ94,Parametros!$A$8:$C$10,2,FALSE))</f>
        <v/>
      </c>
      <c r="AL94">
        <f>IF(Datos!A94="","",VLOOKUP(AJ94,Parametros!$A$8:$C$10,3,FALSE))</f>
        <v/>
      </c>
      <c r="AM94">
        <f>IF(Datos!A94="","",NORMSINV(AK94))</f>
        <v/>
      </c>
      <c r="AN94">
        <f>IF(Datos!A94="","",D94/Parametros!$B$4)</f>
        <v/>
      </c>
      <c r="AO94">
        <f>IF(Datos!A94="","",MAX(0,ROUNDUP(AM94*(AN94*Parametros!$B$3)*SQRT((AL94+E94)),0)))</f>
        <v/>
      </c>
      <c r="AP94">
        <f>IF(Datos!A94="","",MAX(1,ROUNDUP(AN94*(AL94+E94)+AM94*(AN94*Parametros!$B$3)*SQRT((AL94+E94)),0)))</f>
        <v/>
      </c>
      <c r="AQ94">
        <f>IF(Datos!A94="","",IF(Datos!J94="","",Datos!J94))</f>
        <v/>
      </c>
      <c r="AR94">
        <f>IF(OR(Datos!A94="",AQ94=""),"",MAX(0,AQ94-AP94))</f>
        <v/>
      </c>
      <c r="AS94" s="10">
        <f>IF(OR(Datos!A94="",AQ94=""),"",AR94*C94)</f>
        <v/>
      </c>
      <c r="AT94" s="12">
        <f>IF(OR(Datos!A94="",AQ94=""),"",IF(AQ94&lt;AO94,"SI",""))</f>
        <v/>
      </c>
      <c r="AU94">
        <f>IF(Datos!A94="","",IF(AT94="SI","Reponer ahora",IF(AND(AQ94&lt;&gt;"",AR94&gt;0),"Bajar "&amp;TEXT(AR94,"#,##0")&amp;" un.","En rango")))</f>
        <v/>
      </c>
    </row>
    <row r="95">
      <c r="A95">
        <f>IF(Datos!A95="","",Datos!A95)</f>
        <v/>
      </c>
      <c r="B95">
        <f>IF(Datos!A95="","",Datos!B95)</f>
        <v/>
      </c>
      <c r="C95">
        <f>IF(Datos!A95="","",IFERROR(MAX(0,N(Datos!D95)),0))</f>
        <v/>
      </c>
      <c r="D95">
        <f>IF(Datos!A95="","",IFERROR(MAX(0,N(Datos!E95)),0))</f>
        <v/>
      </c>
      <c r="E95">
        <f>IF(Datos!A95="","",IFERROR(MAX(0,N(Datos!F95)),0))</f>
        <v/>
      </c>
      <c r="F95">
        <f>IF(Datos!A95="","",IFERROR(MAX(0,N(Datos!G95)),0))</f>
        <v/>
      </c>
      <c r="G95">
        <f>IF(Datos!A95="","",IFERROR(MAX(0,N(Datos!H95)),0))</f>
        <v/>
      </c>
      <c r="H95">
        <f>IF(Datos!A95="","",IFERROR(MAX(0,N(Datos!I95)),0))</f>
        <v/>
      </c>
      <c r="J95">
        <f>IF(Datos!A95="","",IF(MAX(C$2:C$301)-MIN(C$2:C$301)&lt;0.000000001,0.5,(C95-MIN(C$2:C$301))/(MAX(C$2:C$301)-MIN(C$2:C$301)))+0.000000001)</f>
        <v/>
      </c>
      <c r="K95">
        <f>IF(Datos!A95="","",IF(MAX(D$2:D$301)-MIN(D$2:D$301)&lt;0.000000001,0.5,(D95-MIN(D$2:D$301))/(MAX(D$2:D$301)-MIN(D$2:D$301)))+0.000000001)</f>
        <v/>
      </c>
      <c r="L95">
        <f>IF(Datos!A95="","",IF(MAX(E$2:E$301)-MIN(E$2:E$301)&lt;0.000000001,0.5,(E95-MIN(E$2:E$301))/(MAX(E$2:E$301)-MIN(E$2:E$301)))+0.000000001)</f>
        <v/>
      </c>
      <c r="M95">
        <f>IF(Datos!A95="","",IF(MAX(F$2:F$301)-MIN(F$2:F$301)&lt;0.000000001,0.5,(F95-MIN(F$2:F$301))/(MAX(F$2:F$301)-MIN(F$2:F$301)))+0.000000001)</f>
        <v/>
      </c>
      <c r="N95">
        <f>IF(Datos!A95="","",IF(MAX(G$2:G$301)-MIN(G$2:G$301)&lt;0.000000001,0.5,(G95-MIN(G$2:G$301))/(MAX(G$2:G$301)-MIN(G$2:G$301)))+0.000000001)</f>
        <v/>
      </c>
      <c r="O95">
        <f>IF(Datos!A95="","",IF(MAX(H$2:H$301)-MIN(H$2:H$301)&lt;0.000000001,0.5,(H95-MIN(H$2:H$301))/(MAX(H$2:H$301)-MIN(H$2:H$301)))+0.000000001)</f>
        <v/>
      </c>
      <c r="Q95">
        <f>IF(Datos!A95="","",(J95/SUM(J$2:J$301))*LN(J95/SUM(J$2:J$301)))</f>
        <v/>
      </c>
      <c r="R95">
        <f>IF(Datos!A95="","",(K95/SUM(K$2:K$301))*LN(K95/SUM(K$2:K$301)))</f>
        <v/>
      </c>
      <c r="S95">
        <f>IF(Datos!A95="","",(L95/SUM(L$2:L$301))*LN(L95/SUM(L$2:L$301)))</f>
        <v/>
      </c>
      <c r="T95">
        <f>IF(Datos!A95="","",(M95/SUM(M$2:M$301))*LN(M95/SUM(M$2:M$301)))</f>
        <v/>
      </c>
      <c r="U95">
        <f>IF(Datos!A95="","",(N95/SUM(N$2:N$301))*LN(N95/SUM(N$2:N$301)))</f>
        <v/>
      </c>
      <c r="V95">
        <f>IF(Datos!A95="","",(O95/SUM(O$2:O$301))*LN(O95/SUM(O$2:O$301)))</f>
        <v/>
      </c>
      <c r="X95">
        <f>IF(Datos!A95="","",IF(SUMSQ(C$2:C$301)=0,0,C95/SQRT(SUMSQ(C$2:C$301)))*$BE$2)</f>
        <v/>
      </c>
      <c r="Y95">
        <f>IF(Datos!A95="","",IF(SUMSQ(D$2:D$301)=0,0,D95/SQRT(SUMSQ(D$2:D$301)))*$BE$3)</f>
        <v/>
      </c>
      <c r="Z95">
        <f>IF(Datos!A95="","",IF(SUMSQ(E$2:E$301)=0,0,E95/SQRT(SUMSQ(E$2:E$301)))*$BE$4)</f>
        <v/>
      </c>
      <c r="AA95">
        <f>IF(Datos!A95="","",IF(SUMSQ(F$2:F$301)=0,0,F95/SQRT(SUMSQ(F$2:F$301)))*$BE$5)</f>
        <v/>
      </c>
      <c r="AB95">
        <f>IF(Datos!A95="","",IF(SUMSQ(G$2:G$301)=0,0,G95/SQRT(SUMSQ(G$2:G$301)))*$BE$6)</f>
        <v/>
      </c>
      <c r="AC95">
        <f>IF(Datos!A95="","",IF(SUMSQ(H$2:H$301)=0,0,H95/SQRT(SUMSQ(H$2:H$301)))*$BE$7)</f>
        <v/>
      </c>
      <c r="AE95">
        <f>IF(Datos!A95="","",SQRT(SUMXMY2(X95:AC95,$X$303:$AC$303)))</f>
        <v/>
      </c>
      <c r="AF95">
        <f>IF(Datos!A95="","",SQRT(SUMXMY2(X95:AC95,$X$304:$AC$304)))</f>
        <v/>
      </c>
      <c r="AG95" s="11">
        <f>IF(Datos!A95="","",IF(AE95+AF95&lt;0.000000001,0.5,AF95/(AE95+AF95)))</f>
        <v/>
      </c>
      <c r="AH95">
        <f>IF(Datos!A95="","",AG95*MAX(C95*D95,1))</f>
        <v/>
      </c>
      <c r="AI95">
        <f>IF(Datos!A95="","",SUMIF($AH$2:$AH$301,"&gt;="&amp;AH95,$AH$2:$AH$301)/SUM($AH$2:$AH$301))</f>
        <v/>
      </c>
      <c r="AJ95" s="12">
        <f>IF(Datos!A95="","",IF(AI95&lt;=Parametros!$B$13,"A",IF(AI95&lt;=Parametros!$B$14,"B","C")))</f>
        <v/>
      </c>
      <c r="AK95" s="13">
        <f>IF(Datos!A95="","",VLOOKUP(AJ95,Parametros!$A$8:$C$10,2,FALSE))</f>
        <v/>
      </c>
      <c r="AL95">
        <f>IF(Datos!A95="","",VLOOKUP(AJ95,Parametros!$A$8:$C$10,3,FALSE))</f>
        <v/>
      </c>
      <c r="AM95">
        <f>IF(Datos!A95="","",NORMSINV(AK95))</f>
        <v/>
      </c>
      <c r="AN95">
        <f>IF(Datos!A95="","",D95/Parametros!$B$4)</f>
        <v/>
      </c>
      <c r="AO95">
        <f>IF(Datos!A95="","",MAX(0,ROUNDUP(AM95*(AN95*Parametros!$B$3)*SQRT((AL95+E95)),0)))</f>
        <v/>
      </c>
      <c r="AP95">
        <f>IF(Datos!A95="","",MAX(1,ROUNDUP(AN95*(AL95+E95)+AM95*(AN95*Parametros!$B$3)*SQRT((AL95+E95)),0)))</f>
        <v/>
      </c>
      <c r="AQ95">
        <f>IF(Datos!A95="","",IF(Datos!J95="","",Datos!J95))</f>
        <v/>
      </c>
      <c r="AR95">
        <f>IF(OR(Datos!A95="",AQ95=""),"",MAX(0,AQ95-AP95))</f>
        <v/>
      </c>
      <c r="AS95" s="10">
        <f>IF(OR(Datos!A95="",AQ95=""),"",AR95*C95)</f>
        <v/>
      </c>
      <c r="AT95" s="12">
        <f>IF(OR(Datos!A95="",AQ95=""),"",IF(AQ95&lt;AO95,"SI",""))</f>
        <v/>
      </c>
      <c r="AU95">
        <f>IF(Datos!A95="","",IF(AT95="SI","Reponer ahora",IF(AND(AQ95&lt;&gt;"",AR95&gt;0),"Bajar "&amp;TEXT(AR95,"#,##0")&amp;" un.","En rango")))</f>
        <v/>
      </c>
    </row>
    <row r="96">
      <c r="A96">
        <f>IF(Datos!A96="","",Datos!A96)</f>
        <v/>
      </c>
      <c r="B96">
        <f>IF(Datos!A96="","",Datos!B96)</f>
        <v/>
      </c>
      <c r="C96">
        <f>IF(Datos!A96="","",IFERROR(MAX(0,N(Datos!D96)),0))</f>
        <v/>
      </c>
      <c r="D96">
        <f>IF(Datos!A96="","",IFERROR(MAX(0,N(Datos!E96)),0))</f>
        <v/>
      </c>
      <c r="E96">
        <f>IF(Datos!A96="","",IFERROR(MAX(0,N(Datos!F96)),0))</f>
        <v/>
      </c>
      <c r="F96">
        <f>IF(Datos!A96="","",IFERROR(MAX(0,N(Datos!G96)),0))</f>
        <v/>
      </c>
      <c r="G96">
        <f>IF(Datos!A96="","",IFERROR(MAX(0,N(Datos!H96)),0))</f>
        <v/>
      </c>
      <c r="H96">
        <f>IF(Datos!A96="","",IFERROR(MAX(0,N(Datos!I96)),0))</f>
        <v/>
      </c>
      <c r="J96">
        <f>IF(Datos!A96="","",IF(MAX(C$2:C$301)-MIN(C$2:C$301)&lt;0.000000001,0.5,(C96-MIN(C$2:C$301))/(MAX(C$2:C$301)-MIN(C$2:C$301)))+0.000000001)</f>
        <v/>
      </c>
      <c r="K96">
        <f>IF(Datos!A96="","",IF(MAX(D$2:D$301)-MIN(D$2:D$301)&lt;0.000000001,0.5,(D96-MIN(D$2:D$301))/(MAX(D$2:D$301)-MIN(D$2:D$301)))+0.000000001)</f>
        <v/>
      </c>
      <c r="L96">
        <f>IF(Datos!A96="","",IF(MAX(E$2:E$301)-MIN(E$2:E$301)&lt;0.000000001,0.5,(E96-MIN(E$2:E$301))/(MAX(E$2:E$301)-MIN(E$2:E$301)))+0.000000001)</f>
        <v/>
      </c>
      <c r="M96">
        <f>IF(Datos!A96="","",IF(MAX(F$2:F$301)-MIN(F$2:F$301)&lt;0.000000001,0.5,(F96-MIN(F$2:F$301))/(MAX(F$2:F$301)-MIN(F$2:F$301)))+0.000000001)</f>
        <v/>
      </c>
      <c r="N96">
        <f>IF(Datos!A96="","",IF(MAX(G$2:G$301)-MIN(G$2:G$301)&lt;0.000000001,0.5,(G96-MIN(G$2:G$301))/(MAX(G$2:G$301)-MIN(G$2:G$301)))+0.000000001)</f>
        <v/>
      </c>
      <c r="O96">
        <f>IF(Datos!A96="","",IF(MAX(H$2:H$301)-MIN(H$2:H$301)&lt;0.000000001,0.5,(H96-MIN(H$2:H$301))/(MAX(H$2:H$301)-MIN(H$2:H$301)))+0.000000001)</f>
        <v/>
      </c>
      <c r="Q96">
        <f>IF(Datos!A96="","",(J96/SUM(J$2:J$301))*LN(J96/SUM(J$2:J$301)))</f>
        <v/>
      </c>
      <c r="R96">
        <f>IF(Datos!A96="","",(K96/SUM(K$2:K$301))*LN(K96/SUM(K$2:K$301)))</f>
        <v/>
      </c>
      <c r="S96">
        <f>IF(Datos!A96="","",(L96/SUM(L$2:L$301))*LN(L96/SUM(L$2:L$301)))</f>
        <v/>
      </c>
      <c r="T96">
        <f>IF(Datos!A96="","",(M96/SUM(M$2:M$301))*LN(M96/SUM(M$2:M$301)))</f>
        <v/>
      </c>
      <c r="U96">
        <f>IF(Datos!A96="","",(N96/SUM(N$2:N$301))*LN(N96/SUM(N$2:N$301)))</f>
        <v/>
      </c>
      <c r="V96">
        <f>IF(Datos!A96="","",(O96/SUM(O$2:O$301))*LN(O96/SUM(O$2:O$301)))</f>
        <v/>
      </c>
      <c r="X96">
        <f>IF(Datos!A96="","",IF(SUMSQ(C$2:C$301)=0,0,C96/SQRT(SUMSQ(C$2:C$301)))*$BE$2)</f>
        <v/>
      </c>
      <c r="Y96">
        <f>IF(Datos!A96="","",IF(SUMSQ(D$2:D$301)=0,0,D96/SQRT(SUMSQ(D$2:D$301)))*$BE$3)</f>
        <v/>
      </c>
      <c r="Z96">
        <f>IF(Datos!A96="","",IF(SUMSQ(E$2:E$301)=0,0,E96/SQRT(SUMSQ(E$2:E$301)))*$BE$4)</f>
        <v/>
      </c>
      <c r="AA96">
        <f>IF(Datos!A96="","",IF(SUMSQ(F$2:F$301)=0,0,F96/SQRT(SUMSQ(F$2:F$301)))*$BE$5)</f>
        <v/>
      </c>
      <c r="AB96">
        <f>IF(Datos!A96="","",IF(SUMSQ(G$2:G$301)=0,0,G96/SQRT(SUMSQ(G$2:G$301)))*$BE$6)</f>
        <v/>
      </c>
      <c r="AC96">
        <f>IF(Datos!A96="","",IF(SUMSQ(H$2:H$301)=0,0,H96/SQRT(SUMSQ(H$2:H$301)))*$BE$7)</f>
        <v/>
      </c>
      <c r="AE96">
        <f>IF(Datos!A96="","",SQRT(SUMXMY2(X96:AC96,$X$303:$AC$303)))</f>
        <v/>
      </c>
      <c r="AF96">
        <f>IF(Datos!A96="","",SQRT(SUMXMY2(X96:AC96,$X$304:$AC$304)))</f>
        <v/>
      </c>
      <c r="AG96" s="11">
        <f>IF(Datos!A96="","",IF(AE96+AF96&lt;0.000000001,0.5,AF96/(AE96+AF96)))</f>
        <v/>
      </c>
      <c r="AH96">
        <f>IF(Datos!A96="","",AG96*MAX(C96*D96,1))</f>
        <v/>
      </c>
      <c r="AI96">
        <f>IF(Datos!A96="","",SUMIF($AH$2:$AH$301,"&gt;="&amp;AH96,$AH$2:$AH$301)/SUM($AH$2:$AH$301))</f>
        <v/>
      </c>
      <c r="AJ96" s="12">
        <f>IF(Datos!A96="","",IF(AI96&lt;=Parametros!$B$13,"A",IF(AI96&lt;=Parametros!$B$14,"B","C")))</f>
        <v/>
      </c>
      <c r="AK96" s="13">
        <f>IF(Datos!A96="","",VLOOKUP(AJ96,Parametros!$A$8:$C$10,2,FALSE))</f>
        <v/>
      </c>
      <c r="AL96">
        <f>IF(Datos!A96="","",VLOOKUP(AJ96,Parametros!$A$8:$C$10,3,FALSE))</f>
        <v/>
      </c>
      <c r="AM96">
        <f>IF(Datos!A96="","",NORMSINV(AK96))</f>
        <v/>
      </c>
      <c r="AN96">
        <f>IF(Datos!A96="","",D96/Parametros!$B$4)</f>
        <v/>
      </c>
      <c r="AO96">
        <f>IF(Datos!A96="","",MAX(0,ROUNDUP(AM96*(AN96*Parametros!$B$3)*SQRT((AL96+E96)),0)))</f>
        <v/>
      </c>
      <c r="AP96">
        <f>IF(Datos!A96="","",MAX(1,ROUNDUP(AN96*(AL96+E96)+AM96*(AN96*Parametros!$B$3)*SQRT((AL96+E96)),0)))</f>
        <v/>
      </c>
      <c r="AQ96">
        <f>IF(Datos!A96="","",IF(Datos!J96="","",Datos!J96))</f>
        <v/>
      </c>
      <c r="AR96">
        <f>IF(OR(Datos!A96="",AQ96=""),"",MAX(0,AQ96-AP96))</f>
        <v/>
      </c>
      <c r="AS96" s="10">
        <f>IF(OR(Datos!A96="",AQ96=""),"",AR96*C96)</f>
        <v/>
      </c>
      <c r="AT96" s="12">
        <f>IF(OR(Datos!A96="",AQ96=""),"",IF(AQ96&lt;AO96,"SI",""))</f>
        <v/>
      </c>
      <c r="AU96">
        <f>IF(Datos!A96="","",IF(AT96="SI","Reponer ahora",IF(AND(AQ96&lt;&gt;"",AR96&gt;0),"Bajar "&amp;TEXT(AR96,"#,##0")&amp;" un.","En rango")))</f>
        <v/>
      </c>
    </row>
    <row r="97">
      <c r="A97">
        <f>IF(Datos!A97="","",Datos!A97)</f>
        <v/>
      </c>
      <c r="B97">
        <f>IF(Datos!A97="","",Datos!B97)</f>
        <v/>
      </c>
      <c r="C97">
        <f>IF(Datos!A97="","",IFERROR(MAX(0,N(Datos!D97)),0))</f>
        <v/>
      </c>
      <c r="D97">
        <f>IF(Datos!A97="","",IFERROR(MAX(0,N(Datos!E97)),0))</f>
        <v/>
      </c>
      <c r="E97">
        <f>IF(Datos!A97="","",IFERROR(MAX(0,N(Datos!F97)),0))</f>
        <v/>
      </c>
      <c r="F97">
        <f>IF(Datos!A97="","",IFERROR(MAX(0,N(Datos!G97)),0))</f>
        <v/>
      </c>
      <c r="G97">
        <f>IF(Datos!A97="","",IFERROR(MAX(0,N(Datos!H97)),0))</f>
        <v/>
      </c>
      <c r="H97">
        <f>IF(Datos!A97="","",IFERROR(MAX(0,N(Datos!I97)),0))</f>
        <v/>
      </c>
      <c r="J97">
        <f>IF(Datos!A97="","",IF(MAX(C$2:C$301)-MIN(C$2:C$301)&lt;0.000000001,0.5,(C97-MIN(C$2:C$301))/(MAX(C$2:C$301)-MIN(C$2:C$301)))+0.000000001)</f>
        <v/>
      </c>
      <c r="K97">
        <f>IF(Datos!A97="","",IF(MAX(D$2:D$301)-MIN(D$2:D$301)&lt;0.000000001,0.5,(D97-MIN(D$2:D$301))/(MAX(D$2:D$301)-MIN(D$2:D$301)))+0.000000001)</f>
        <v/>
      </c>
      <c r="L97">
        <f>IF(Datos!A97="","",IF(MAX(E$2:E$301)-MIN(E$2:E$301)&lt;0.000000001,0.5,(E97-MIN(E$2:E$301))/(MAX(E$2:E$301)-MIN(E$2:E$301)))+0.000000001)</f>
        <v/>
      </c>
      <c r="M97">
        <f>IF(Datos!A97="","",IF(MAX(F$2:F$301)-MIN(F$2:F$301)&lt;0.000000001,0.5,(F97-MIN(F$2:F$301))/(MAX(F$2:F$301)-MIN(F$2:F$301)))+0.000000001)</f>
        <v/>
      </c>
      <c r="N97">
        <f>IF(Datos!A97="","",IF(MAX(G$2:G$301)-MIN(G$2:G$301)&lt;0.000000001,0.5,(G97-MIN(G$2:G$301))/(MAX(G$2:G$301)-MIN(G$2:G$301)))+0.000000001)</f>
        <v/>
      </c>
      <c r="O97">
        <f>IF(Datos!A97="","",IF(MAX(H$2:H$301)-MIN(H$2:H$301)&lt;0.000000001,0.5,(H97-MIN(H$2:H$301))/(MAX(H$2:H$301)-MIN(H$2:H$301)))+0.000000001)</f>
        <v/>
      </c>
      <c r="Q97">
        <f>IF(Datos!A97="","",(J97/SUM(J$2:J$301))*LN(J97/SUM(J$2:J$301)))</f>
        <v/>
      </c>
      <c r="R97">
        <f>IF(Datos!A97="","",(K97/SUM(K$2:K$301))*LN(K97/SUM(K$2:K$301)))</f>
        <v/>
      </c>
      <c r="S97">
        <f>IF(Datos!A97="","",(L97/SUM(L$2:L$301))*LN(L97/SUM(L$2:L$301)))</f>
        <v/>
      </c>
      <c r="T97">
        <f>IF(Datos!A97="","",(M97/SUM(M$2:M$301))*LN(M97/SUM(M$2:M$301)))</f>
        <v/>
      </c>
      <c r="U97">
        <f>IF(Datos!A97="","",(N97/SUM(N$2:N$301))*LN(N97/SUM(N$2:N$301)))</f>
        <v/>
      </c>
      <c r="V97">
        <f>IF(Datos!A97="","",(O97/SUM(O$2:O$301))*LN(O97/SUM(O$2:O$301)))</f>
        <v/>
      </c>
      <c r="X97">
        <f>IF(Datos!A97="","",IF(SUMSQ(C$2:C$301)=0,0,C97/SQRT(SUMSQ(C$2:C$301)))*$BE$2)</f>
        <v/>
      </c>
      <c r="Y97">
        <f>IF(Datos!A97="","",IF(SUMSQ(D$2:D$301)=0,0,D97/SQRT(SUMSQ(D$2:D$301)))*$BE$3)</f>
        <v/>
      </c>
      <c r="Z97">
        <f>IF(Datos!A97="","",IF(SUMSQ(E$2:E$301)=0,0,E97/SQRT(SUMSQ(E$2:E$301)))*$BE$4)</f>
        <v/>
      </c>
      <c r="AA97">
        <f>IF(Datos!A97="","",IF(SUMSQ(F$2:F$301)=0,0,F97/SQRT(SUMSQ(F$2:F$301)))*$BE$5)</f>
        <v/>
      </c>
      <c r="AB97">
        <f>IF(Datos!A97="","",IF(SUMSQ(G$2:G$301)=0,0,G97/SQRT(SUMSQ(G$2:G$301)))*$BE$6)</f>
        <v/>
      </c>
      <c r="AC97">
        <f>IF(Datos!A97="","",IF(SUMSQ(H$2:H$301)=0,0,H97/SQRT(SUMSQ(H$2:H$301)))*$BE$7)</f>
        <v/>
      </c>
      <c r="AE97">
        <f>IF(Datos!A97="","",SQRT(SUMXMY2(X97:AC97,$X$303:$AC$303)))</f>
        <v/>
      </c>
      <c r="AF97">
        <f>IF(Datos!A97="","",SQRT(SUMXMY2(X97:AC97,$X$304:$AC$304)))</f>
        <v/>
      </c>
      <c r="AG97" s="11">
        <f>IF(Datos!A97="","",IF(AE97+AF97&lt;0.000000001,0.5,AF97/(AE97+AF97)))</f>
        <v/>
      </c>
      <c r="AH97">
        <f>IF(Datos!A97="","",AG97*MAX(C97*D97,1))</f>
        <v/>
      </c>
      <c r="AI97">
        <f>IF(Datos!A97="","",SUMIF($AH$2:$AH$301,"&gt;="&amp;AH97,$AH$2:$AH$301)/SUM($AH$2:$AH$301))</f>
        <v/>
      </c>
      <c r="AJ97" s="12">
        <f>IF(Datos!A97="","",IF(AI97&lt;=Parametros!$B$13,"A",IF(AI97&lt;=Parametros!$B$14,"B","C")))</f>
        <v/>
      </c>
      <c r="AK97" s="13">
        <f>IF(Datos!A97="","",VLOOKUP(AJ97,Parametros!$A$8:$C$10,2,FALSE))</f>
        <v/>
      </c>
      <c r="AL97">
        <f>IF(Datos!A97="","",VLOOKUP(AJ97,Parametros!$A$8:$C$10,3,FALSE))</f>
        <v/>
      </c>
      <c r="AM97">
        <f>IF(Datos!A97="","",NORMSINV(AK97))</f>
        <v/>
      </c>
      <c r="AN97">
        <f>IF(Datos!A97="","",D97/Parametros!$B$4)</f>
        <v/>
      </c>
      <c r="AO97">
        <f>IF(Datos!A97="","",MAX(0,ROUNDUP(AM97*(AN97*Parametros!$B$3)*SQRT((AL97+E97)),0)))</f>
        <v/>
      </c>
      <c r="AP97">
        <f>IF(Datos!A97="","",MAX(1,ROUNDUP(AN97*(AL97+E97)+AM97*(AN97*Parametros!$B$3)*SQRT((AL97+E97)),0)))</f>
        <v/>
      </c>
      <c r="AQ97">
        <f>IF(Datos!A97="","",IF(Datos!J97="","",Datos!J97))</f>
        <v/>
      </c>
      <c r="AR97">
        <f>IF(OR(Datos!A97="",AQ97=""),"",MAX(0,AQ97-AP97))</f>
        <v/>
      </c>
      <c r="AS97" s="10">
        <f>IF(OR(Datos!A97="",AQ97=""),"",AR97*C97)</f>
        <v/>
      </c>
      <c r="AT97" s="12">
        <f>IF(OR(Datos!A97="",AQ97=""),"",IF(AQ97&lt;AO97,"SI",""))</f>
        <v/>
      </c>
      <c r="AU97">
        <f>IF(Datos!A97="","",IF(AT97="SI","Reponer ahora",IF(AND(AQ97&lt;&gt;"",AR97&gt;0),"Bajar "&amp;TEXT(AR97,"#,##0")&amp;" un.","En rango")))</f>
        <v/>
      </c>
    </row>
    <row r="98">
      <c r="A98">
        <f>IF(Datos!A98="","",Datos!A98)</f>
        <v/>
      </c>
      <c r="B98">
        <f>IF(Datos!A98="","",Datos!B98)</f>
        <v/>
      </c>
      <c r="C98">
        <f>IF(Datos!A98="","",IFERROR(MAX(0,N(Datos!D98)),0))</f>
        <v/>
      </c>
      <c r="D98">
        <f>IF(Datos!A98="","",IFERROR(MAX(0,N(Datos!E98)),0))</f>
        <v/>
      </c>
      <c r="E98">
        <f>IF(Datos!A98="","",IFERROR(MAX(0,N(Datos!F98)),0))</f>
        <v/>
      </c>
      <c r="F98">
        <f>IF(Datos!A98="","",IFERROR(MAX(0,N(Datos!G98)),0))</f>
        <v/>
      </c>
      <c r="G98">
        <f>IF(Datos!A98="","",IFERROR(MAX(0,N(Datos!H98)),0))</f>
        <v/>
      </c>
      <c r="H98">
        <f>IF(Datos!A98="","",IFERROR(MAX(0,N(Datos!I98)),0))</f>
        <v/>
      </c>
      <c r="J98">
        <f>IF(Datos!A98="","",IF(MAX(C$2:C$301)-MIN(C$2:C$301)&lt;0.000000001,0.5,(C98-MIN(C$2:C$301))/(MAX(C$2:C$301)-MIN(C$2:C$301)))+0.000000001)</f>
        <v/>
      </c>
      <c r="K98">
        <f>IF(Datos!A98="","",IF(MAX(D$2:D$301)-MIN(D$2:D$301)&lt;0.000000001,0.5,(D98-MIN(D$2:D$301))/(MAX(D$2:D$301)-MIN(D$2:D$301)))+0.000000001)</f>
        <v/>
      </c>
      <c r="L98">
        <f>IF(Datos!A98="","",IF(MAX(E$2:E$301)-MIN(E$2:E$301)&lt;0.000000001,0.5,(E98-MIN(E$2:E$301))/(MAX(E$2:E$301)-MIN(E$2:E$301)))+0.000000001)</f>
        <v/>
      </c>
      <c r="M98">
        <f>IF(Datos!A98="","",IF(MAX(F$2:F$301)-MIN(F$2:F$301)&lt;0.000000001,0.5,(F98-MIN(F$2:F$301))/(MAX(F$2:F$301)-MIN(F$2:F$301)))+0.000000001)</f>
        <v/>
      </c>
      <c r="N98">
        <f>IF(Datos!A98="","",IF(MAX(G$2:G$301)-MIN(G$2:G$301)&lt;0.000000001,0.5,(G98-MIN(G$2:G$301))/(MAX(G$2:G$301)-MIN(G$2:G$301)))+0.000000001)</f>
        <v/>
      </c>
      <c r="O98">
        <f>IF(Datos!A98="","",IF(MAX(H$2:H$301)-MIN(H$2:H$301)&lt;0.000000001,0.5,(H98-MIN(H$2:H$301))/(MAX(H$2:H$301)-MIN(H$2:H$301)))+0.000000001)</f>
        <v/>
      </c>
      <c r="Q98">
        <f>IF(Datos!A98="","",(J98/SUM(J$2:J$301))*LN(J98/SUM(J$2:J$301)))</f>
        <v/>
      </c>
      <c r="R98">
        <f>IF(Datos!A98="","",(K98/SUM(K$2:K$301))*LN(K98/SUM(K$2:K$301)))</f>
        <v/>
      </c>
      <c r="S98">
        <f>IF(Datos!A98="","",(L98/SUM(L$2:L$301))*LN(L98/SUM(L$2:L$301)))</f>
        <v/>
      </c>
      <c r="T98">
        <f>IF(Datos!A98="","",(M98/SUM(M$2:M$301))*LN(M98/SUM(M$2:M$301)))</f>
        <v/>
      </c>
      <c r="U98">
        <f>IF(Datos!A98="","",(N98/SUM(N$2:N$301))*LN(N98/SUM(N$2:N$301)))</f>
        <v/>
      </c>
      <c r="V98">
        <f>IF(Datos!A98="","",(O98/SUM(O$2:O$301))*LN(O98/SUM(O$2:O$301)))</f>
        <v/>
      </c>
      <c r="X98">
        <f>IF(Datos!A98="","",IF(SUMSQ(C$2:C$301)=0,0,C98/SQRT(SUMSQ(C$2:C$301)))*$BE$2)</f>
        <v/>
      </c>
      <c r="Y98">
        <f>IF(Datos!A98="","",IF(SUMSQ(D$2:D$301)=0,0,D98/SQRT(SUMSQ(D$2:D$301)))*$BE$3)</f>
        <v/>
      </c>
      <c r="Z98">
        <f>IF(Datos!A98="","",IF(SUMSQ(E$2:E$301)=0,0,E98/SQRT(SUMSQ(E$2:E$301)))*$BE$4)</f>
        <v/>
      </c>
      <c r="AA98">
        <f>IF(Datos!A98="","",IF(SUMSQ(F$2:F$301)=0,0,F98/SQRT(SUMSQ(F$2:F$301)))*$BE$5)</f>
        <v/>
      </c>
      <c r="AB98">
        <f>IF(Datos!A98="","",IF(SUMSQ(G$2:G$301)=0,0,G98/SQRT(SUMSQ(G$2:G$301)))*$BE$6)</f>
        <v/>
      </c>
      <c r="AC98">
        <f>IF(Datos!A98="","",IF(SUMSQ(H$2:H$301)=0,0,H98/SQRT(SUMSQ(H$2:H$301)))*$BE$7)</f>
        <v/>
      </c>
      <c r="AE98">
        <f>IF(Datos!A98="","",SQRT(SUMXMY2(X98:AC98,$X$303:$AC$303)))</f>
        <v/>
      </c>
      <c r="AF98">
        <f>IF(Datos!A98="","",SQRT(SUMXMY2(X98:AC98,$X$304:$AC$304)))</f>
        <v/>
      </c>
      <c r="AG98" s="11">
        <f>IF(Datos!A98="","",IF(AE98+AF98&lt;0.000000001,0.5,AF98/(AE98+AF98)))</f>
        <v/>
      </c>
      <c r="AH98">
        <f>IF(Datos!A98="","",AG98*MAX(C98*D98,1))</f>
        <v/>
      </c>
      <c r="AI98">
        <f>IF(Datos!A98="","",SUMIF($AH$2:$AH$301,"&gt;="&amp;AH98,$AH$2:$AH$301)/SUM($AH$2:$AH$301))</f>
        <v/>
      </c>
      <c r="AJ98" s="12">
        <f>IF(Datos!A98="","",IF(AI98&lt;=Parametros!$B$13,"A",IF(AI98&lt;=Parametros!$B$14,"B","C")))</f>
        <v/>
      </c>
      <c r="AK98" s="13">
        <f>IF(Datos!A98="","",VLOOKUP(AJ98,Parametros!$A$8:$C$10,2,FALSE))</f>
        <v/>
      </c>
      <c r="AL98">
        <f>IF(Datos!A98="","",VLOOKUP(AJ98,Parametros!$A$8:$C$10,3,FALSE))</f>
        <v/>
      </c>
      <c r="AM98">
        <f>IF(Datos!A98="","",NORMSINV(AK98))</f>
        <v/>
      </c>
      <c r="AN98">
        <f>IF(Datos!A98="","",D98/Parametros!$B$4)</f>
        <v/>
      </c>
      <c r="AO98">
        <f>IF(Datos!A98="","",MAX(0,ROUNDUP(AM98*(AN98*Parametros!$B$3)*SQRT((AL98+E98)),0)))</f>
        <v/>
      </c>
      <c r="AP98">
        <f>IF(Datos!A98="","",MAX(1,ROUNDUP(AN98*(AL98+E98)+AM98*(AN98*Parametros!$B$3)*SQRT((AL98+E98)),0)))</f>
        <v/>
      </c>
      <c r="AQ98">
        <f>IF(Datos!A98="","",IF(Datos!J98="","",Datos!J98))</f>
        <v/>
      </c>
      <c r="AR98">
        <f>IF(OR(Datos!A98="",AQ98=""),"",MAX(0,AQ98-AP98))</f>
        <v/>
      </c>
      <c r="AS98" s="10">
        <f>IF(OR(Datos!A98="",AQ98=""),"",AR98*C98)</f>
        <v/>
      </c>
      <c r="AT98" s="12">
        <f>IF(OR(Datos!A98="",AQ98=""),"",IF(AQ98&lt;AO98,"SI",""))</f>
        <v/>
      </c>
      <c r="AU98">
        <f>IF(Datos!A98="","",IF(AT98="SI","Reponer ahora",IF(AND(AQ98&lt;&gt;"",AR98&gt;0),"Bajar "&amp;TEXT(AR98,"#,##0")&amp;" un.","En rango")))</f>
        <v/>
      </c>
    </row>
    <row r="99">
      <c r="A99">
        <f>IF(Datos!A99="","",Datos!A99)</f>
        <v/>
      </c>
      <c r="B99">
        <f>IF(Datos!A99="","",Datos!B99)</f>
        <v/>
      </c>
      <c r="C99">
        <f>IF(Datos!A99="","",IFERROR(MAX(0,N(Datos!D99)),0))</f>
        <v/>
      </c>
      <c r="D99">
        <f>IF(Datos!A99="","",IFERROR(MAX(0,N(Datos!E99)),0))</f>
        <v/>
      </c>
      <c r="E99">
        <f>IF(Datos!A99="","",IFERROR(MAX(0,N(Datos!F99)),0))</f>
        <v/>
      </c>
      <c r="F99">
        <f>IF(Datos!A99="","",IFERROR(MAX(0,N(Datos!G99)),0))</f>
        <v/>
      </c>
      <c r="G99">
        <f>IF(Datos!A99="","",IFERROR(MAX(0,N(Datos!H99)),0))</f>
        <v/>
      </c>
      <c r="H99">
        <f>IF(Datos!A99="","",IFERROR(MAX(0,N(Datos!I99)),0))</f>
        <v/>
      </c>
      <c r="J99">
        <f>IF(Datos!A99="","",IF(MAX(C$2:C$301)-MIN(C$2:C$301)&lt;0.000000001,0.5,(C99-MIN(C$2:C$301))/(MAX(C$2:C$301)-MIN(C$2:C$301)))+0.000000001)</f>
        <v/>
      </c>
      <c r="K99">
        <f>IF(Datos!A99="","",IF(MAX(D$2:D$301)-MIN(D$2:D$301)&lt;0.000000001,0.5,(D99-MIN(D$2:D$301))/(MAX(D$2:D$301)-MIN(D$2:D$301)))+0.000000001)</f>
        <v/>
      </c>
      <c r="L99">
        <f>IF(Datos!A99="","",IF(MAX(E$2:E$301)-MIN(E$2:E$301)&lt;0.000000001,0.5,(E99-MIN(E$2:E$301))/(MAX(E$2:E$301)-MIN(E$2:E$301)))+0.000000001)</f>
        <v/>
      </c>
      <c r="M99">
        <f>IF(Datos!A99="","",IF(MAX(F$2:F$301)-MIN(F$2:F$301)&lt;0.000000001,0.5,(F99-MIN(F$2:F$301))/(MAX(F$2:F$301)-MIN(F$2:F$301)))+0.000000001)</f>
        <v/>
      </c>
      <c r="N99">
        <f>IF(Datos!A99="","",IF(MAX(G$2:G$301)-MIN(G$2:G$301)&lt;0.000000001,0.5,(G99-MIN(G$2:G$301))/(MAX(G$2:G$301)-MIN(G$2:G$301)))+0.000000001)</f>
        <v/>
      </c>
      <c r="O99">
        <f>IF(Datos!A99="","",IF(MAX(H$2:H$301)-MIN(H$2:H$301)&lt;0.000000001,0.5,(H99-MIN(H$2:H$301))/(MAX(H$2:H$301)-MIN(H$2:H$301)))+0.000000001)</f>
        <v/>
      </c>
      <c r="Q99">
        <f>IF(Datos!A99="","",(J99/SUM(J$2:J$301))*LN(J99/SUM(J$2:J$301)))</f>
        <v/>
      </c>
      <c r="R99">
        <f>IF(Datos!A99="","",(K99/SUM(K$2:K$301))*LN(K99/SUM(K$2:K$301)))</f>
        <v/>
      </c>
      <c r="S99">
        <f>IF(Datos!A99="","",(L99/SUM(L$2:L$301))*LN(L99/SUM(L$2:L$301)))</f>
        <v/>
      </c>
      <c r="T99">
        <f>IF(Datos!A99="","",(M99/SUM(M$2:M$301))*LN(M99/SUM(M$2:M$301)))</f>
        <v/>
      </c>
      <c r="U99">
        <f>IF(Datos!A99="","",(N99/SUM(N$2:N$301))*LN(N99/SUM(N$2:N$301)))</f>
        <v/>
      </c>
      <c r="V99">
        <f>IF(Datos!A99="","",(O99/SUM(O$2:O$301))*LN(O99/SUM(O$2:O$301)))</f>
        <v/>
      </c>
      <c r="X99">
        <f>IF(Datos!A99="","",IF(SUMSQ(C$2:C$301)=0,0,C99/SQRT(SUMSQ(C$2:C$301)))*$BE$2)</f>
        <v/>
      </c>
      <c r="Y99">
        <f>IF(Datos!A99="","",IF(SUMSQ(D$2:D$301)=0,0,D99/SQRT(SUMSQ(D$2:D$301)))*$BE$3)</f>
        <v/>
      </c>
      <c r="Z99">
        <f>IF(Datos!A99="","",IF(SUMSQ(E$2:E$301)=0,0,E99/SQRT(SUMSQ(E$2:E$301)))*$BE$4)</f>
        <v/>
      </c>
      <c r="AA99">
        <f>IF(Datos!A99="","",IF(SUMSQ(F$2:F$301)=0,0,F99/SQRT(SUMSQ(F$2:F$301)))*$BE$5)</f>
        <v/>
      </c>
      <c r="AB99">
        <f>IF(Datos!A99="","",IF(SUMSQ(G$2:G$301)=0,0,G99/SQRT(SUMSQ(G$2:G$301)))*$BE$6)</f>
        <v/>
      </c>
      <c r="AC99">
        <f>IF(Datos!A99="","",IF(SUMSQ(H$2:H$301)=0,0,H99/SQRT(SUMSQ(H$2:H$301)))*$BE$7)</f>
        <v/>
      </c>
      <c r="AE99">
        <f>IF(Datos!A99="","",SQRT(SUMXMY2(X99:AC99,$X$303:$AC$303)))</f>
        <v/>
      </c>
      <c r="AF99">
        <f>IF(Datos!A99="","",SQRT(SUMXMY2(X99:AC99,$X$304:$AC$304)))</f>
        <v/>
      </c>
      <c r="AG99" s="11">
        <f>IF(Datos!A99="","",IF(AE99+AF99&lt;0.000000001,0.5,AF99/(AE99+AF99)))</f>
        <v/>
      </c>
      <c r="AH99">
        <f>IF(Datos!A99="","",AG99*MAX(C99*D99,1))</f>
        <v/>
      </c>
      <c r="AI99">
        <f>IF(Datos!A99="","",SUMIF($AH$2:$AH$301,"&gt;="&amp;AH99,$AH$2:$AH$301)/SUM($AH$2:$AH$301))</f>
        <v/>
      </c>
      <c r="AJ99" s="12">
        <f>IF(Datos!A99="","",IF(AI99&lt;=Parametros!$B$13,"A",IF(AI99&lt;=Parametros!$B$14,"B","C")))</f>
        <v/>
      </c>
      <c r="AK99" s="13">
        <f>IF(Datos!A99="","",VLOOKUP(AJ99,Parametros!$A$8:$C$10,2,FALSE))</f>
        <v/>
      </c>
      <c r="AL99">
        <f>IF(Datos!A99="","",VLOOKUP(AJ99,Parametros!$A$8:$C$10,3,FALSE))</f>
        <v/>
      </c>
      <c r="AM99">
        <f>IF(Datos!A99="","",NORMSINV(AK99))</f>
        <v/>
      </c>
      <c r="AN99">
        <f>IF(Datos!A99="","",D99/Parametros!$B$4)</f>
        <v/>
      </c>
      <c r="AO99">
        <f>IF(Datos!A99="","",MAX(0,ROUNDUP(AM99*(AN99*Parametros!$B$3)*SQRT((AL99+E99)),0)))</f>
        <v/>
      </c>
      <c r="AP99">
        <f>IF(Datos!A99="","",MAX(1,ROUNDUP(AN99*(AL99+E99)+AM99*(AN99*Parametros!$B$3)*SQRT((AL99+E99)),0)))</f>
        <v/>
      </c>
      <c r="AQ99">
        <f>IF(Datos!A99="","",IF(Datos!J99="","",Datos!J99))</f>
        <v/>
      </c>
      <c r="AR99">
        <f>IF(OR(Datos!A99="",AQ99=""),"",MAX(0,AQ99-AP99))</f>
        <v/>
      </c>
      <c r="AS99" s="10">
        <f>IF(OR(Datos!A99="",AQ99=""),"",AR99*C99)</f>
        <v/>
      </c>
      <c r="AT99" s="12">
        <f>IF(OR(Datos!A99="",AQ99=""),"",IF(AQ99&lt;AO99,"SI",""))</f>
        <v/>
      </c>
      <c r="AU99">
        <f>IF(Datos!A99="","",IF(AT99="SI","Reponer ahora",IF(AND(AQ99&lt;&gt;"",AR99&gt;0),"Bajar "&amp;TEXT(AR99,"#,##0")&amp;" un.","En rango")))</f>
        <v/>
      </c>
    </row>
    <row r="100">
      <c r="A100">
        <f>IF(Datos!A100="","",Datos!A100)</f>
        <v/>
      </c>
      <c r="B100">
        <f>IF(Datos!A100="","",Datos!B100)</f>
        <v/>
      </c>
      <c r="C100">
        <f>IF(Datos!A100="","",IFERROR(MAX(0,N(Datos!D100)),0))</f>
        <v/>
      </c>
      <c r="D100">
        <f>IF(Datos!A100="","",IFERROR(MAX(0,N(Datos!E100)),0))</f>
        <v/>
      </c>
      <c r="E100">
        <f>IF(Datos!A100="","",IFERROR(MAX(0,N(Datos!F100)),0))</f>
        <v/>
      </c>
      <c r="F100">
        <f>IF(Datos!A100="","",IFERROR(MAX(0,N(Datos!G100)),0))</f>
        <v/>
      </c>
      <c r="G100">
        <f>IF(Datos!A100="","",IFERROR(MAX(0,N(Datos!H100)),0))</f>
        <v/>
      </c>
      <c r="H100">
        <f>IF(Datos!A100="","",IFERROR(MAX(0,N(Datos!I100)),0))</f>
        <v/>
      </c>
      <c r="J100">
        <f>IF(Datos!A100="","",IF(MAX(C$2:C$301)-MIN(C$2:C$301)&lt;0.000000001,0.5,(C100-MIN(C$2:C$301))/(MAX(C$2:C$301)-MIN(C$2:C$301)))+0.000000001)</f>
        <v/>
      </c>
      <c r="K100">
        <f>IF(Datos!A100="","",IF(MAX(D$2:D$301)-MIN(D$2:D$301)&lt;0.000000001,0.5,(D100-MIN(D$2:D$301))/(MAX(D$2:D$301)-MIN(D$2:D$301)))+0.000000001)</f>
        <v/>
      </c>
      <c r="L100">
        <f>IF(Datos!A100="","",IF(MAX(E$2:E$301)-MIN(E$2:E$301)&lt;0.000000001,0.5,(E100-MIN(E$2:E$301))/(MAX(E$2:E$301)-MIN(E$2:E$301)))+0.000000001)</f>
        <v/>
      </c>
      <c r="M100">
        <f>IF(Datos!A100="","",IF(MAX(F$2:F$301)-MIN(F$2:F$301)&lt;0.000000001,0.5,(F100-MIN(F$2:F$301))/(MAX(F$2:F$301)-MIN(F$2:F$301)))+0.000000001)</f>
        <v/>
      </c>
      <c r="N100">
        <f>IF(Datos!A100="","",IF(MAX(G$2:G$301)-MIN(G$2:G$301)&lt;0.000000001,0.5,(G100-MIN(G$2:G$301))/(MAX(G$2:G$301)-MIN(G$2:G$301)))+0.000000001)</f>
        <v/>
      </c>
      <c r="O100">
        <f>IF(Datos!A100="","",IF(MAX(H$2:H$301)-MIN(H$2:H$301)&lt;0.000000001,0.5,(H100-MIN(H$2:H$301))/(MAX(H$2:H$301)-MIN(H$2:H$301)))+0.000000001)</f>
        <v/>
      </c>
      <c r="Q100">
        <f>IF(Datos!A100="","",(J100/SUM(J$2:J$301))*LN(J100/SUM(J$2:J$301)))</f>
        <v/>
      </c>
      <c r="R100">
        <f>IF(Datos!A100="","",(K100/SUM(K$2:K$301))*LN(K100/SUM(K$2:K$301)))</f>
        <v/>
      </c>
      <c r="S100">
        <f>IF(Datos!A100="","",(L100/SUM(L$2:L$301))*LN(L100/SUM(L$2:L$301)))</f>
        <v/>
      </c>
      <c r="T100">
        <f>IF(Datos!A100="","",(M100/SUM(M$2:M$301))*LN(M100/SUM(M$2:M$301)))</f>
        <v/>
      </c>
      <c r="U100">
        <f>IF(Datos!A100="","",(N100/SUM(N$2:N$301))*LN(N100/SUM(N$2:N$301)))</f>
        <v/>
      </c>
      <c r="V100">
        <f>IF(Datos!A100="","",(O100/SUM(O$2:O$301))*LN(O100/SUM(O$2:O$301)))</f>
        <v/>
      </c>
      <c r="X100">
        <f>IF(Datos!A100="","",IF(SUMSQ(C$2:C$301)=0,0,C100/SQRT(SUMSQ(C$2:C$301)))*$BE$2)</f>
        <v/>
      </c>
      <c r="Y100">
        <f>IF(Datos!A100="","",IF(SUMSQ(D$2:D$301)=0,0,D100/SQRT(SUMSQ(D$2:D$301)))*$BE$3)</f>
        <v/>
      </c>
      <c r="Z100">
        <f>IF(Datos!A100="","",IF(SUMSQ(E$2:E$301)=0,0,E100/SQRT(SUMSQ(E$2:E$301)))*$BE$4)</f>
        <v/>
      </c>
      <c r="AA100">
        <f>IF(Datos!A100="","",IF(SUMSQ(F$2:F$301)=0,0,F100/SQRT(SUMSQ(F$2:F$301)))*$BE$5)</f>
        <v/>
      </c>
      <c r="AB100">
        <f>IF(Datos!A100="","",IF(SUMSQ(G$2:G$301)=0,0,G100/SQRT(SUMSQ(G$2:G$301)))*$BE$6)</f>
        <v/>
      </c>
      <c r="AC100">
        <f>IF(Datos!A100="","",IF(SUMSQ(H$2:H$301)=0,0,H100/SQRT(SUMSQ(H$2:H$301)))*$BE$7)</f>
        <v/>
      </c>
      <c r="AE100">
        <f>IF(Datos!A100="","",SQRT(SUMXMY2(X100:AC100,$X$303:$AC$303)))</f>
        <v/>
      </c>
      <c r="AF100">
        <f>IF(Datos!A100="","",SQRT(SUMXMY2(X100:AC100,$X$304:$AC$304)))</f>
        <v/>
      </c>
      <c r="AG100" s="11">
        <f>IF(Datos!A100="","",IF(AE100+AF100&lt;0.000000001,0.5,AF100/(AE100+AF100)))</f>
        <v/>
      </c>
      <c r="AH100">
        <f>IF(Datos!A100="","",AG100*MAX(C100*D100,1))</f>
        <v/>
      </c>
      <c r="AI100">
        <f>IF(Datos!A100="","",SUMIF($AH$2:$AH$301,"&gt;="&amp;AH100,$AH$2:$AH$301)/SUM($AH$2:$AH$301))</f>
        <v/>
      </c>
      <c r="AJ100" s="12">
        <f>IF(Datos!A100="","",IF(AI100&lt;=Parametros!$B$13,"A",IF(AI100&lt;=Parametros!$B$14,"B","C")))</f>
        <v/>
      </c>
      <c r="AK100" s="13">
        <f>IF(Datos!A100="","",VLOOKUP(AJ100,Parametros!$A$8:$C$10,2,FALSE))</f>
        <v/>
      </c>
      <c r="AL100">
        <f>IF(Datos!A100="","",VLOOKUP(AJ100,Parametros!$A$8:$C$10,3,FALSE))</f>
        <v/>
      </c>
      <c r="AM100">
        <f>IF(Datos!A100="","",NORMSINV(AK100))</f>
        <v/>
      </c>
      <c r="AN100">
        <f>IF(Datos!A100="","",D100/Parametros!$B$4)</f>
        <v/>
      </c>
      <c r="AO100">
        <f>IF(Datos!A100="","",MAX(0,ROUNDUP(AM100*(AN100*Parametros!$B$3)*SQRT((AL100+E100)),0)))</f>
        <v/>
      </c>
      <c r="AP100">
        <f>IF(Datos!A100="","",MAX(1,ROUNDUP(AN100*(AL100+E100)+AM100*(AN100*Parametros!$B$3)*SQRT((AL100+E100)),0)))</f>
        <v/>
      </c>
      <c r="AQ100">
        <f>IF(Datos!A100="","",IF(Datos!J100="","",Datos!J100))</f>
        <v/>
      </c>
      <c r="AR100">
        <f>IF(OR(Datos!A100="",AQ100=""),"",MAX(0,AQ100-AP100))</f>
        <v/>
      </c>
      <c r="AS100" s="10">
        <f>IF(OR(Datos!A100="",AQ100=""),"",AR100*C100)</f>
        <v/>
      </c>
      <c r="AT100" s="12">
        <f>IF(OR(Datos!A100="",AQ100=""),"",IF(AQ100&lt;AO100,"SI",""))</f>
        <v/>
      </c>
      <c r="AU100">
        <f>IF(Datos!A100="","",IF(AT100="SI","Reponer ahora",IF(AND(AQ100&lt;&gt;"",AR100&gt;0),"Bajar "&amp;TEXT(AR100,"#,##0")&amp;" un.","En rango")))</f>
        <v/>
      </c>
    </row>
    <row r="101">
      <c r="A101">
        <f>IF(Datos!A101="","",Datos!A101)</f>
        <v/>
      </c>
      <c r="B101">
        <f>IF(Datos!A101="","",Datos!B101)</f>
        <v/>
      </c>
      <c r="C101">
        <f>IF(Datos!A101="","",IFERROR(MAX(0,N(Datos!D101)),0))</f>
        <v/>
      </c>
      <c r="D101">
        <f>IF(Datos!A101="","",IFERROR(MAX(0,N(Datos!E101)),0))</f>
        <v/>
      </c>
      <c r="E101">
        <f>IF(Datos!A101="","",IFERROR(MAX(0,N(Datos!F101)),0))</f>
        <v/>
      </c>
      <c r="F101">
        <f>IF(Datos!A101="","",IFERROR(MAX(0,N(Datos!G101)),0))</f>
        <v/>
      </c>
      <c r="G101">
        <f>IF(Datos!A101="","",IFERROR(MAX(0,N(Datos!H101)),0))</f>
        <v/>
      </c>
      <c r="H101">
        <f>IF(Datos!A101="","",IFERROR(MAX(0,N(Datos!I101)),0))</f>
        <v/>
      </c>
      <c r="J101">
        <f>IF(Datos!A101="","",IF(MAX(C$2:C$301)-MIN(C$2:C$301)&lt;0.000000001,0.5,(C101-MIN(C$2:C$301))/(MAX(C$2:C$301)-MIN(C$2:C$301)))+0.000000001)</f>
        <v/>
      </c>
      <c r="K101">
        <f>IF(Datos!A101="","",IF(MAX(D$2:D$301)-MIN(D$2:D$301)&lt;0.000000001,0.5,(D101-MIN(D$2:D$301))/(MAX(D$2:D$301)-MIN(D$2:D$301)))+0.000000001)</f>
        <v/>
      </c>
      <c r="L101">
        <f>IF(Datos!A101="","",IF(MAX(E$2:E$301)-MIN(E$2:E$301)&lt;0.000000001,0.5,(E101-MIN(E$2:E$301))/(MAX(E$2:E$301)-MIN(E$2:E$301)))+0.000000001)</f>
        <v/>
      </c>
      <c r="M101">
        <f>IF(Datos!A101="","",IF(MAX(F$2:F$301)-MIN(F$2:F$301)&lt;0.000000001,0.5,(F101-MIN(F$2:F$301))/(MAX(F$2:F$301)-MIN(F$2:F$301)))+0.000000001)</f>
        <v/>
      </c>
      <c r="N101">
        <f>IF(Datos!A101="","",IF(MAX(G$2:G$301)-MIN(G$2:G$301)&lt;0.000000001,0.5,(G101-MIN(G$2:G$301))/(MAX(G$2:G$301)-MIN(G$2:G$301)))+0.000000001)</f>
        <v/>
      </c>
      <c r="O101">
        <f>IF(Datos!A101="","",IF(MAX(H$2:H$301)-MIN(H$2:H$301)&lt;0.000000001,0.5,(H101-MIN(H$2:H$301))/(MAX(H$2:H$301)-MIN(H$2:H$301)))+0.000000001)</f>
        <v/>
      </c>
      <c r="Q101">
        <f>IF(Datos!A101="","",(J101/SUM(J$2:J$301))*LN(J101/SUM(J$2:J$301)))</f>
        <v/>
      </c>
      <c r="R101">
        <f>IF(Datos!A101="","",(K101/SUM(K$2:K$301))*LN(K101/SUM(K$2:K$301)))</f>
        <v/>
      </c>
      <c r="S101">
        <f>IF(Datos!A101="","",(L101/SUM(L$2:L$301))*LN(L101/SUM(L$2:L$301)))</f>
        <v/>
      </c>
      <c r="T101">
        <f>IF(Datos!A101="","",(M101/SUM(M$2:M$301))*LN(M101/SUM(M$2:M$301)))</f>
        <v/>
      </c>
      <c r="U101">
        <f>IF(Datos!A101="","",(N101/SUM(N$2:N$301))*LN(N101/SUM(N$2:N$301)))</f>
        <v/>
      </c>
      <c r="V101">
        <f>IF(Datos!A101="","",(O101/SUM(O$2:O$301))*LN(O101/SUM(O$2:O$301)))</f>
        <v/>
      </c>
      <c r="X101">
        <f>IF(Datos!A101="","",IF(SUMSQ(C$2:C$301)=0,0,C101/SQRT(SUMSQ(C$2:C$301)))*$BE$2)</f>
        <v/>
      </c>
      <c r="Y101">
        <f>IF(Datos!A101="","",IF(SUMSQ(D$2:D$301)=0,0,D101/SQRT(SUMSQ(D$2:D$301)))*$BE$3)</f>
        <v/>
      </c>
      <c r="Z101">
        <f>IF(Datos!A101="","",IF(SUMSQ(E$2:E$301)=0,0,E101/SQRT(SUMSQ(E$2:E$301)))*$BE$4)</f>
        <v/>
      </c>
      <c r="AA101">
        <f>IF(Datos!A101="","",IF(SUMSQ(F$2:F$301)=0,0,F101/SQRT(SUMSQ(F$2:F$301)))*$BE$5)</f>
        <v/>
      </c>
      <c r="AB101">
        <f>IF(Datos!A101="","",IF(SUMSQ(G$2:G$301)=0,0,G101/SQRT(SUMSQ(G$2:G$301)))*$BE$6)</f>
        <v/>
      </c>
      <c r="AC101">
        <f>IF(Datos!A101="","",IF(SUMSQ(H$2:H$301)=0,0,H101/SQRT(SUMSQ(H$2:H$301)))*$BE$7)</f>
        <v/>
      </c>
      <c r="AE101">
        <f>IF(Datos!A101="","",SQRT(SUMXMY2(X101:AC101,$X$303:$AC$303)))</f>
        <v/>
      </c>
      <c r="AF101">
        <f>IF(Datos!A101="","",SQRT(SUMXMY2(X101:AC101,$X$304:$AC$304)))</f>
        <v/>
      </c>
      <c r="AG101" s="11">
        <f>IF(Datos!A101="","",IF(AE101+AF101&lt;0.000000001,0.5,AF101/(AE101+AF101)))</f>
        <v/>
      </c>
      <c r="AH101">
        <f>IF(Datos!A101="","",AG101*MAX(C101*D101,1))</f>
        <v/>
      </c>
      <c r="AI101">
        <f>IF(Datos!A101="","",SUMIF($AH$2:$AH$301,"&gt;="&amp;AH101,$AH$2:$AH$301)/SUM($AH$2:$AH$301))</f>
        <v/>
      </c>
      <c r="AJ101" s="12">
        <f>IF(Datos!A101="","",IF(AI101&lt;=Parametros!$B$13,"A",IF(AI101&lt;=Parametros!$B$14,"B","C")))</f>
        <v/>
      </c>
      <c r="AK101" s="13">
        <f>IF(Datos!A101="","",VLOOKUP(AJ101,Parametros!$A$8:$C$10,2,FALSE))</f>
        <v/>
      </c>
      <c r="AL101">
        <f>IF(Datos!A101="","",VLOOKUP(AJ101,Parametros!$A$8:$C$10,3,FALSE))</f>
        <v/>
      </c>
      <c r="AM101">
        <f>IF(Datos!A101="","",NORMSINV(AK101))</f>
        <v/>
      </c>
      <c r="AN101">
        <f>IF(Datos!A101="","",D101/Parametros!$B$4)</f>
        <v/>
      </c>
      <c r="AO101">
        <f>IF(Datos!A101="","",MAX(0,ROUNDUP(AM101*(AN101*Parametros!$B$3)*SQRT((AL101+E101)),0)))</f>
        <v/>
      </c>
      <c r="AP101">
        <f>IF(Datos!A101="","",MAX(1,ROUNDUP(AN101*(AL101+E101)+AM101*(AN101*Parametros!$B$3)*SQRT((AL101+E101)),0)))</f>
        <v/>
      </c>
      <c r="AQ101">
        <f>IF(Datos!A101="","",IF(Datos!J101="","",Datos!J101))</f>
        <v/>
      </c>
      <c r="AR101">
        <f>IF(OR(Datos!A101="",AQ101=""),"",MAX(0,AQ101-AP101))</f>
        <v/>
      </c>
      <c r="AS101" s="10">
        <f>IF(OR(Datos!A101="",AQ101=""),"",AR101*C101)</f>
        <v/>
      </c>
      <c r="AT101" s="12">
        <f>IF(OR(Datos!A101="",AQ101=""),"",IF(AQ101&lt;AO101,"SI",""))</f>
        <v/>
      </c>
      <c r="AU101">
        <f>IF(Datos!A101="","",IF(AT101="SI","Reponer ahora",IF(AND(AQ101&lt;&gt;"",AR101&gt;0),"Bajar "&amp;TEXT(AR101,"#,##0")&amp;" un.","En rango")))</f>
        <v/>
      </c>
    </row>
    <row r="102">
      <c r="A102">
        <f>IF(Datos!A102="","",Datos!A102)</f>
        <v/>
      </c>
      <c r="B102">
        <f>IF(Datos!A102="","",Datos!B102)</f>
        <v/>
      </c>
      <c r="C102">
        <f>IF(Datos!A102="","",IFERROR(MAX(0,N(Datos!D102)),0))</f>
        <v/>
      </c>
      <c r="D102">
        <f>IF(Datos!A102="","",IFERROR(MAX(0,N(Datos!E102)),0))</f>
        <v/>
      </c>
      <c r="E102">
        <f>IF(Datos!A102="","",IFERROR(MAX(0,N(Datos!F102)),0))</f>
        <v/>
      </c>
      <c r="F102">
        <f>IF(Datos!A102="","",IFERROR(MAX(0,N(Datos!G102)),0))</f>
        <v/>
      </c>
      <c r="G102">
        <f>IF(Datos!A102="","",IFERROR(MAX(0,N(Datos!H102)),0))</f>
        <v/>
      </c>
      <c r="H102">
        <f>IF(Datos!A102="","",IFERROR(MAX(0,N(Datos!I102)),0))</f>
        <v/>
      </c>
      <c r="J102">
        <f>IF(Datos!A102="","",IF(MAX(C$2:C$301)-MIN(C$2:C$301)&lt;0.000000001,0.5,(C102-MIN(C$2:C$301))/(MAX(C$2:C$301)-MIN(C$2:C$301)))+0.000000001)</f>
        <v/>
      </c>
      <c r="K102">
        <f>IF(Datos!A102="","",IF(MAX(D$2:D$301)-MIN(D$2:D$301)&lt;0.000000001,0.5,(D102-MIN(D$2:D$301))/(MAX(D$2:D$301)-MIN(D$2:D$301)))+0.000000001)</f>
        <v/>
      </c>
      <c r="L102">
        <f>IF(Datos!A102="","",IF(MAX(E$2:E$301)-MIN(E$2:E$301)&lt;0.000000001,0.5,(E102-MIN(E$2:E$301))/(MAX(E$2:E$301)-MIN(E$2:E$301)))+0.000000001)</f>
        <v/>
      </c>
      <c r="M102">
        <f>IF(Datos!A102="","",IF(MAX(F$2:F$301)-MIN(F$2:F$301)&lt;0.000000001,0.5,(F102-MIN(F$2:F$301))/(MAX(F$2:F$301)-MIN(F$2:F$301)))+0.000000001)</f>
        <v/>
      </c>
      <c r="N102">
        <f>IF(Datos!A102="","",IF(MAX(G$2:G$301)-MIN(G$2:G$301)&lt;0.000000001,0.5,(G102-MIN(G$2:G$301))/(MAX(G$2:G$301)-MIN(G$2:G$301)))+0.000000001)</f>
        <v/>
      </c>
      <c r="O102">
        <f>IF(Datos!A102="","",IF(MAX(H$2:H$301)-MIN(H$2:H$301)&lt;0.000000001,0.5,(H102-MIN(H$2:H$301))/(MAX(H$2:H$301)-MIN(H$2:H$301)))+0.000000001)</f>
        <v/>
      </c>
      <c r="Q102">
        <f>IF(Datos!A102="","",(J102/SUM(J$2:J$301))*LN(J102/SUM(J$2:J$301)))</f>
        <v/>
      </c>
      <c r="R102">
        <f>IF(Datos!A102="","",(K102/SUM(K$2:K$301))*LN(K102/SUM(K$2:K$301)))</f>
        <v/>
      </c>
      <c r="S102">
        <f>IF(Datos!A102="","",(L102/SUM(L$2:L$301))*LN(L102/SUM(L$2:L$301)))</f>
        <v/>
      </c>
      <c r="T102">
        <f>IF(Datos!A102="","",(M102/SUM(M$2:M$301))*LN(M102/SUM(M$2:M$301)))</f>
        <v/>
      </c>
      <c r="U102">
        <f>IF(Datos!A102="","",(N102/SUM(N$2:N$301))*LN(N102/SUM(N$2:N$301)))</f>
        <v/>
      </c>
      <c r="V102">
        <f>IF(Datos!A102="","",(O102/SUM(O$2:O$301))*LN(O102/SUM(O$2:O$301)))</f>
        <v/>
      </c>
      <c r="X102">
        <f>IF(Datos!A102="","",IF(SUMSQ(C$2:C$301)=0,0,C102/SQRT(SUMSQ(C$2:C$301)))*$BE$2)</f>
        <v/>
      </c>
      <c r="Y102">
        <f>IF(Datos!A102="","",IF(SUMSQ(D$2:D$301)=0,0,D102/SQRT(SUMSQ(D$2:D$301)))*$BE$3)</f>
        <v/>
      </c>
      <c r="Z102">
        <f>IF(Datos!A102="","",IF(SUMSQ(E$2:E$301)=0,0,E102/SQRT(SUMSQ(E$2:E$301)))*$BE$4)</f>
        <v/>
      </c>
      <c r="AA102">
        <f>IF(Datos!A102="","",IF(SUMSQ(F$2:F$301)=0,0,F102/SQRT(SUMSQ(F$2:F$301)))*$BE$5)</f>
        <v/>
      </c>
      <c r="AB102">
        <f>IF(Datos!A102="","",IF(SUMSQ(G$2:G$301)=0,0,G102/SQRT(SUMSQ(G$2:G$301)))*$BE$6)</f>
        <v/>
      </c>
      <c r="AC102">
        <f>IF(Datos!A102="","",IF(SUMSQ(H$2:H$301)=0,0,H102/SQRT(SUMSQ(H$2:H$301)))*$BE$7)</f>
        <v/>
      </c>
      <c r="AE102">
        <f>IF(Datos!A102="","",SQRT(SUMXMY2(X102:AC102,$X$303:$AC$303)))</f>
        <v/>
      </c>
      <c r="AF102">
        <f>IF(Datos!A102="","",SQRT(SUMXMY2(X102:AC102,$X$304:$AC$304)))</f>
        <v/>
      </c>
      <c r="AG102" s="11">
        <f>IF(Datos!A102="","",IF(AE102+AF102&lt;0.000000001,0.5,AF102/(AE102+AF102)))</f>
        <v/>
      </c>
      <c r="AH102">
        <f>IF(Datos!A102="","",AG102*MAX(C102*D102,1))</f>
        <v/>
      </c>
      <c r="AI102">
        <f>IF(Datos!A102="","",SUMIF($AH$2:$AH$301,"&gt;="&amp;AH102,$AH$2:$AH$301)/SUM($AH$2:$AH$301))</f>
        <v/>
      </c>
      <c r="AJ102" s="12">
        <f>IF(Datos!A102="","",IF(AI102&lt;=Parametros!$B$13,"A",IF(AI102&lt;=Parametros!$B$14,"B","C")))</f>
        <v/>
      </c>
      <c r="AK102" s="13">
        <f>IF(Datos!A102="","",VLOOKUP(AJ102,Parametros!$A$8:$C$10,2,FALSE))</f>
        <v/>
      </c>
      <c r="AL102">
        <f>IF(Datos!A102="","",VLOOKUP(AJ102,Parametros!$A$8:$C$10,3,FALSE))</f>
        <v/>
      </c>
      <c r="AM102">
        <f>IF(Datos!A102="","",NORMSINV(AK102))</f>
        <v/>
      </c>
      <c r="AN102">
        <f>IF(Datos!A102="","",D102/Parametros!$B$4)</f>
        <v/>
      </c>
      <c r="AO102">
        <f>IF(Datos!A102="","",MAX(0,ROUNDUP(AM102*(AN102*Parametros!$B$3)*SQRT((AL102+E102)),0)))</f>
        <v/>
      </c>
      <c r="AP102">
        <f>IF(Datos!A102="","",MAX(1,ROUNDUP(AN102*(AL102+E102)+AM102*(AN102*Parametros!$B$3)*SQRT((AL102+E102)),0)))</f>
        <v/>
      </c>
      <c r="AQ102">
        <f>IF(Datos!A102="","",IF(Datos!J102="","",Datos!J102))</f>
        <v/>
      </c>
      <c r="AR102">
        <f>IF(OR(Datos!A102="",AQ102=""),"",MAX(0,AQ102-AP102))</f>
        <v/>
      </c>
      <c r="AS102" s="10">
        <f>IF(OR(Datos!A102="",AQ102=""),"",AR102*C102)</f>
        <v/>
      </c>
      <c r="AT102" s="12">
        <f>IF(OR(Datos!A102="",AQ102=""),"",IF(AQ102&lt;AO102,"SI",""))</f>
        <v/>
      </c>
      <c r="AU102">
        <f>IF(Datos!A102="","",IF(AT102="SI","Reponer ahora",IF(AND(AQ102&lt;&gt;"",AR102&gt;0),"Bajar "&amp;TEXT(AR102,"#,##0")&amp;" un.","En rango")))</f>
        <v/>
      </c>
    </row>
    <row r="103">
      <c r="A103">
        <f>IF(Datos!A103="","",Datos!A103)</f>
        <v/>
      </c>
      <c r="B103">
        <f>IF(Datos!A103="","",Datos!B103)</f>
        <v/>
      </c>
      <c r="C103">
        <f>IF(Datos!A103="","",IFERROR(MAX(0,N(Datos!D103)),0))</f>
        <v/>
      </c>
      <c r="D103">
        <f>IF(Datos!A103="","",IFERROR(MAX(0,N(Datos!E103)),0))</f>
        <v/>
      </c>
      <c r="E103">
        <f>IF(Datos!A103="","",IFERROR(MAX(0,N(Datos!F103)),0))</f>
        <v/>
      </c>
      <c r="F103">
        <f>IF(Datos!A103="","",IFERROR(MAX(0,N(Datos!G103)),0))</f>
        <v/>
      </c>
      <c r="G103">
        <f>IF(Datos!A103="","",IFERROR(MAX(0,N(Datos!H103)),0))</f>
        <v/>
      </c>
      <c r="H103">
        <f>IF(Datos!A103="","",IFERROR(MAX(0,N(Datos!I103)),0))</f>
        <v/>
      </c>
      <c r="J103">
        <f>IF(Datos!A103="","",IF(MAX(C$2:C$301)-MIN(C$2:C$301)&lt;0.000000001,0.5,(C103-MIN(C$2:C$301))/(MAX(C$2:C$301)-MIN(C$2:C$301)))+0.000000001)</f>
        <v/>
      </c>
      <c r="K103">
        <f>IF(Datos!A103="","",IF(MAX(D$2:D$301)-MIN(D$2:D$301)&lt;0.000000001,0.5,(D103-MIN(D$2:D$301))/(MAX(D$2:D$301)-MIN(D$2:D$301)))+0.000000001)</f>
        <v/>
      </c>
      <c r="L103">
        <f>IF(Datos!A103="","",IF(MAX(E$2:E$301)-MIN(E$2:E$301)&lt;0.000000001,0.5,(E103-MIN(E$2:E$301))/(MAX(E$2:E$301)-MIN(E$2:E$301)))+0.000000001)</f>
        <v/>
      </c>
      <c r="M103">
        <f>IF(Datos!A103="","",IF(MAX(F$2:F$301)-MIN(F$2:F$301)&lt;0.000000001,0.5,(F103-MIN(F$2:F$301))/(MAX(F$2:F$301)-MIN(F$2:F$301)))+0.000000001)</f>
        <v/>
      </c>
      <c r="N103">
        <f>IF(Datos!A103="","",IF(MAX(G$2:G$301)-MIN(G$2:G$301)&lt;0.000000001,0.5,(G103-MIN(G$2:G$301))/(MAX(G$2:G$301)-MIN(G$2:G$301)))+0.000000001)</f>
        <v/>
      </c>
      <c r="O103">
        <f>IF(Datos!A103="","",IF(MAX(H$2:H$301)-MIN(H$2:H$301)&lt;0.000000001,0.5,(H103-MIN(H$2:H$301))/(MAX(H$2:H$301)-MIN(H$2:H$301)))+0.000000001)</f>
        <v/>
      </c>
      <c r="Q103">
        <f>IF(Datos!A103="","",(J103/SUM(J$2:J$301))*LN(J103/SUM(J$2:J$301)))</f>
        <v/>
      </c>
      <c r="R103">
        <f>IF(Datos!A103="","",(K103/SUM(K$2:K$301))*LN(K103/SUM(K$2:K$301)))</f>
        <v/>
      </c>
      <c r="S103">
        <f>IF(Datos!A103="","",(L103/SUM(L$2:L$301))*LN(L103/SUM(L$2:L$301)))</f>
        <v/>
      </c>
      <c r="T103">
        <f>IF(Datos!A103="","",(M103/SUM(M$2:M$301))*LN(M103/SUM(M$2:M$301)))</f>
        <v/>
      </c>
      <c r="U103">
        <f>IF(Datos!A103="","",(N103/SUM(N$2:N$301))*LN(N103/SUM(N$2:N$301)))</f>
        <v/>
      </c>
      <c r="V103">
        <f>IF(Datos!A103="","",(O103/SUM(O$2:O$301))*LN(O103/SUM(O$2:O$301)))</f>
        <v/>
      </c>
      <c r="X103">
        <f>IF(Datos!A103="","",IF(SUMSQ(C$2:C$301)=0,0,C103/SQRT(SUMSQ(C$2:C$301)))*$BE$2)</f>
        <v/>
      </c>
      <c r="Y103">
        <f>IF(Datos!A103="","",IF(SUMSQ(D$2:D$301)=0,0,D103/SQRT(SUMSQ(D$2:D$301)))*$BE$3)</f>
        <v/>
      </c>
      <c r="Z103">
        <f>IF(Datos!A103="","",IF(SUMSQ(E$2:E$301)=0,0,E103/SQRT(SUMSQ(E$2:E$301)))*$BE$4)</f>
        <v/>
      </c>
      <c r="AA103">
        <f>IF(Datos!A103="","",IF(SUMSQ(F$2:F$301)=0,0,F103/SQRT(SUMSQ(F$2:F$301)))*$BE$5)</f>
        <v/>
      </c>
      <c r="AB103">
        <f>IF(Datos!A103="","",IF(SUMSQ(G$2:G$301)=0,0,G103/SQRT(SUMSQ(G$2:G$301)))*$BE$6)</f>
        <v/>
      </c>
      <c r="AC103">
        <f>IF(Datos!A103="","",IF(SUMSQ(H$2:H$301)=0,0,H103/SQRT(SUMSQ(H$2:H$301)))*$BE$7)</f>
        <v/>
      </c>
      <c r="AE103">
        <f>IF(Datos!A103="","",SQRT(SUMXMY2(X103:AC103,$X$303:$AC$303)))</f>
        <v/>
      </c>
      <c r="AF103">
        <f>IF(Datos!A103="","",SQRT(SUMXMY2(X103:AC103,$X$304:$AC$304)))</f>
        <v/>
      </c>
      <c r="AG103" s="11">
        <f>IF(Datos!A103="","",IF(AE103+AF103&lt;0.000000001,0.5,AF103/(AE103+AF103)))</f>
        <v/>
      </c>
      <c r="AH103">
        <f>IF(Datos!A103="","",AG103*MAX(C103*D103,1))</f>
        <v/>
      </c>
      <c r="AI103">
        <f>IF(Datos!A103="","",SUMIF($AH$2:$AH$301,"&gt;="&amp;AH103,$AH$2:$AH$301)/SUM($AH$2:$AH$301))</f>
        <v/>
      </c>
      <c r="AJ103" s="12">
        <f>IF(Datos!A103="","",IF(AI103&lt;=Parametros!$B$13,"A",IF(AI103&lt;=Parametros!$B$14,"B","C")))</f>
        <v/>
      </c>
      <c r="AK103" s="13">
        <f>IF(Datos!A103="","",VLOOKUP(AJ103,Parametros!$A$8:$C$10,2,FALSE))</f>
        <v/>
      </c>
      <c r="AL103">
        <f>IF(Datos!A103="","",VLOOKUP(AJ103,Parametros!$A$8:$C$10,3,FALSE))</f>
        <v/>
      </c>
      <c r="AM103">
        <f>IF(Datos!A103="","",NORMSINV(AK103))</f>
        <v/>
      </c>
      <c r="AN103">
        <f>IF(Datos!A103="","",D103/Parametros!$B$4)</f>
        <v/>
      </c>
      <c r="AO103">
        <f>IF(Datos!A103="","",MAX(0,ROUNDUP(AM103*(AN103*Parametros!$B$3)*SQRT((AL103+E103)),0)))</f>
        <v/>
      </c>
      <c r="AP103">
        <f>IF(Datos!A103="","",MAX(1,ROUNDUP(AN103*(AL103+E103)+AM103*(AN103*Parametros!$B$3)*SQRT((AL103+E103)),0)))</f>
        <v/>
      </c>
      <c r="AQ103">
        <f>IF(Datos!A103="","",IF(Datos!J103="","",Datos!J103))</f>
        <v/>
      </c>
      <c r="AR103">
        <f>IF(OR(Datos!A103="",AQ103=""),"",MAX(0,AQ103-AP103))</f>
        <v/>
      </c>
      <c r="AS103" s="10">
        <f>IF(OR(Datos!A103="",AQ103=""),"",AR103*C103)</f>
        <v/>
      </c>
      <c r="AT103" s="12">
        <f>IF(OR(Datos!A103="",AQ103=""),"",IF(AQ103&lt;AO103,"SI",""))</f>
        <v/>
      </c>
      <c r="AU103">
        <f>IF(Datos!A103="","",IF(AT103="SI","Reponer ahora",IF(AND(AQ103&lt;&gt;"",AR103&gt;0),"Bajar "&amp;TEXT(AR103,"#,##0")&amp;" un.","En rango")))</f>
        <v/>
      </c>
    </row>
    <row r="104">
      <c r="A104">
        <f>IF(Datos!A104="","",Datos!A104)</f>
        <v/>
      </c>
      <c r="B104">
        <f>IF(Datos!A104="","",Datos!B104)</f>
        <v/>
      </c>
      <c r="C104">
        <f>IF(Datos!A104="","",IFERROR(MAX(0,N(Datos!D104)),0))</f>
        <v/>
      </c>
      <c r="D104">
        <f>IF(Datos!A104="","",IFERROR(MAX(0,N(Datos!E104)),0))</f>
        <v/>
      </c>
      <c r="E104">
        <f>IF(Datos!A104="","",IFERROR(MAX(0,N(Datos!F104)),0))</f>
        <v/>
      </c>
      <c r="F104">
        <f>IF(Datos!A104="","",IFERROR(MAX(0,N(Datos!G104)),0))</f>
        <v/>
      </c>
      <c r="G104">
        <f>IF(Datos!A104="","",IFERROR(MAX(0,N(Datos!H104)),0))</f>
        <v/>
      </c>
      <c r="H104">
        <f>IF(Datos!A104="","",IFERROR(MAX(0,N(Datos!I104)),0))</f>
        <v/>
      </c>
      <c r="J104">
        <f>IF(Datos!A104="","",IF(MAX(C$2:C$301)-MIN(C$2:C$301)&lt;0.000000001,0.5,(C104-MIN(C$2:C$301))/(MAX(C$2:C$301)-MIN(C$2:C$301)))+0.000000001)</f>
        <v/>
      </c>
      <c r="K104">
        <f>IF(Datos!A104="","",IF(MAX(D$2:D$301)-MIN(D$2:D$301)&lt;0.000000001,0.5,(D104-MIN(D$2:D$301))/(MAX(D$2:D$301)-MIN(D$2:D$301)))+0.000000001)</f>
        <v/>
      </c>
      <c r="L104">
        <f>IF(Datos!A104="","",IF(MAX(E$2:E$301)-MIN(E$2:E$301)&lt;0.000000001,0.5,(E104-MIN(E$2:E$301))/(MAX(E$2:E$301)-MIN(E$2:E$301)))+0.000000001)</f>
        <v/>
      </c>
      <c r="M104">
        <f>IF(Datos!A104="","",IF(MAX(F$2:F$301)-MIN(F$2:F$301)&lt;0.000000001,0.5,(F104-MIN(F$2:F$301))/(MAX(F$2:F$301)-MIN(F$2:F$301)))+0.000000001)</f>
        <v/>
      </c>
      <c r="N104">
        <f>IF(Datos!A104="","",IF(MAX(G$2:G$301)-MIN(G$2:G$301)&lt;0.000000001,0.5,(G104-MIN(G$2:G$301))/(MAX(G$2:G$301)-MIN(G$2:G$301)))+0.000000001)</f>
        <v/>
      </c>
      <c r="O104">
        <f>IF(Datos!A104="","",IF(MAX(H$2:H$301)-MIN(H$2:H$301)&lt;0.000000001,0.5,(H104-MIN(H$2:H$301))/(MAX(H$2:H$301)-MIN(H$2:H$301)))+0.000000001)</f>
        <v/>
      </c>
      <c r="Q104">
        <f>IF(Datos!A104="","",(J104/SUM(J$2:J$301))*LN(J104/SUM(J$2:J$301)))</f>
        <v/>
      </c>
      <c r="R104">
        <f>IF(Datos!A104="","",(K104/SUM(K$2:K$301))*LN(K104/SUM(K$2:K$301)))</f>
        <v/>
      </c>
      <c r="S104">
        <f>IF(Datos!A104="","",(L104/SUM(L$2:L$301))*LN(L104/SUM(L$2:L$301)))</f>
        <v/>
      </c>
      <c r="T104">
        <f>IF(Datos!A104="","",(M104/SUM(M$2:M$301))*LN(M104/SUM(M$2:M$301)))</f>
        <v/>
      </c>
      <c r="U104">
        <f>IF(Datos!A104="","",(N104/SUM(N$2:N$301))*LN(N104/SUM(N$2:N$301)))</f>
        <v/>
      </c>
      <c r="V104">
        <f>IF(Datos!A104="","",(O104/SUM(O$2:O$301))*LN(O104/SUM(O$2:O$301)))</f>
        <v/>
      </c>
      <c r="X104">
        <f>IF(Datos!A104="","",IF(SUMSQ(C$2:C$301)=0,0,C104/SQRT(SUMSQ(C$2:C$301)))*$BE$2)</f>
        <v/>
      </c>
      <c r="Y104">
        <f>IF(Datos!A104="","",IF(SUMSQ(D$2:D$301)=0,0,D104/SQRT(SUMSQ(D$2:D$301)))*$BE$3)</f>
        <v/>
      </c>
      <c r="Z104">
        <f>IF(Datos!A104="","",IF(SUMSQ(E$2:E$301)=0,0,E104/SQRT(SUMSQ(E$2:E$301)))*$BE$4)</f>
        <v/>
      </c>
      <c r="AA104">
        <f>IF(Datos!A104="","",IF(SUMSQ(F$2:F$301)=0,0,F104/SQRT(SUMSQ(F$2:F$301)))*$BE$5)</f>
        <v/>
      </c>
      <c r="AB104">
        <f>IF(Datos!A104="","",IF(SUMSQ(G$2:G$301)=0,0,G104/SQRT(SUMSQ(G$2:G$301)))*$BE$6)</f>
        <v/>
      </c>
      <c r="AC104">
        <f>IF(Datos!A104="","",IF(SUMSQ(H$2:H$301)=0,0,H104/SQRT(SUMSQ(H$2:H$301)))*$BE$7)</f>
        <v/>
      </c>
      <c r="AE104">
        <f>IF(Datos!A104="","",SQRT(SUMXMY2(X104:AC104,$X$303:$AC$303)))</f>
        <v/>
      </c>
      <c r="AF104">
        <f>IF(Datos!A104="","",SQRT(SUMXMY2(X104:AC104,$X$304:$AC$304)))</f>
        <v/>
      </c>
      <c r="AG104" s="11">
        <f>IF(Datos!A104="","",IF(AE104+AF104&lt;0.000000001,0.5,AF104/(AE104+AF104)))</f>
        <v/>
      </c>
      <c r="AH104">
        <f>IF(Datos!A104="","",AG104*MAX(C104*D104,1))</f>
        <v/>
      </c>
      <c r="AI104">
        <f>IF(Datos!A104="","",SUMIF($AH$2:$AH$301,"&gt;="&amp;AH104,$AH$2:$AH$301)/SUM($AH$2:$AH$301))</f>
        <v/>
      </c>
      <c r="AJ104" s="12">
        <f>IF(Datos!A104="","",IF(AI104&lt;=Parametros!$B$13,"A",IF(AI104&lt;=Parametros!$B$14,"B","C")))</f>
        <v/>
      </c>
      <c r="AK104" s="13">
        <f>IF(Datos!A104="","",VLOOKUP(AJ104,Parametros!$A$8:$C$10,2,FALSE))</f>
        <v/>
      </c>
      <c r="AL104">
        <f>IF(Datos!A104="","",VLOOKUP(AJ104,Parametros!$A$8:$C$10,3,FALSE))</f>
        <v/>
      </c>
      <c r="AM104">
        <f>IF(Datos!A104="","",NORMSINV(AK104))</f>
        <v/>
      </c>
      <c r="AN104">
        <f>IF(Datos!A104="","",D104/Parametros!$B$4)</f>
        <v/>
      </c>
      <c r="AO104">
        <f>IF(Datos!A104="","",MAX(0,ROUNDUP(AM104*(AN104*Parametros!$B$3)*SQRT((AL104+E104)),0)))</f>
        <v/>
      </c>
      <c r="AP104">
        <f>IF(Datos!A104="","",MAX(1,ROUNDUP(AN104*(AL104+E104)+AM104*(AN104*Parametros!$B$3)*SQRT((AL104+E104)),0)))</f>
        <v/>
      </c>
      <c r="AQ104">
        <f>IF(Datos!A104="","",IF(Datos!J104="","",Datos!J104))</f>
        <v/>
      </c>
      <c r="AR104">
        <f>IF(OR(Datos!A104="",AQ104=""),"",MAX(0,AQ104-AP104))</f>
        <v/>
      </c>
      <c r="AS104" s="10">
        <f>IF(OR(Datos!A104="",AQ104=""),"",AR104*C104)</f>
        <v/>
      </c>
      <c r="AT104" s="12">
        <f>IF(OR(Datos!A104="",AQ104=""),"",IF(AQ104&lt;AO104,"SI",""))</f>
        <v/>
      </c>
      <c r="AU104">
        <f>IF(Datos!A104="","",IF(AT104="SI","Reponer ahora",IF(AND(AQ104&lt;&gt;"",AR104&gt;0),"Bajar "&amp;TEXT(AR104,"#,##0")&amp;" un.","En rango")))</f>
        <v/>
      </c>
    </row>
    <row r="105">
      <c r="A105">
        <f>IF(Datos!A105="","",Datos!A105)</f>
        <v/>
      </c>
      <c r="B105">
        <f>IF(Datos!A105="","",Datos!B105)</f>
        <v/>
      </c>
      <c r="C105">
        <f>IF(Datos!A105="","",IFERROR(MAX(0,N(Datos!D105)),0))</f>
        <v/>
      </c>
      <c r="D105">
        <f>IF(Datos!A105="","",IFERROR(MAX(0,N(Datos!E105)),0))</f>
        <v/>
      </c>
      <c r="E105">
        <f>IF(Datos!A105="","",IFERROR(MAX(0,N(Datos!F105)),0))</f>
        <v/>
      </c>
      <c r="F105">
        <f>IF(Datos!A105="","",IFERROR(MAX(0,N(Datos!G105)),0))</f>
        <v/>
      </c>
      <c r="G105">
        <f>IF(Datos!A105="","",IFERROR(MAX(0,N(Datos!H105)),0))</f>
        <v/>
      </c>
      <c r="H105">
        <f>IF(Datos!A105="","",IFERROR(MAX(0,N(Datos!I105)),0))</f>
        <v/>
      </c>
      <c r="J105">
        <f>IF(Datos!A105="","",IF(MAX(C$2:C$301)-MIN(C$2:C$301)&lt;0.000000001,0.5,(C105-MIN(C$2:C$301))/(MAX(C$2:C$301)-MIN(C$2:C$301)))+0.000000001)</f>
        <v/>
      </c>
      <c r="K105">
        <f>IF(Datos!A105="","",IF(MAX(D$2:D$301)-MIN(D$2:D$301)&lt;0.000000001,0.5,(D105-MIN(D$2:D$301))/(MAX(D$2:D$301)-MIN(D$2:D$301)))+0.000000001)</f>
        <v/>
      </c>
      <c r="L105">
        <f>IF(Datos!A105="","",IF(MAX(E$2:E$301)-MIN(E$2:E$301)&lt;0.000000001,0.5,(E105-MIN(E$2:E$301))/(MAX(E$2:E$301)-MIN(E$2:E$301)))+0.000000001)</f>
        <v/>
      </c>
      <c r="M105">
        <f>IF(Datos!A105="","",IF(MAX(F$2:F$301)-MIN(F$2:F$301)&lt;0.000000001,0.5,(F105-MIN(F$2:F$301))/(MAX(F$2:F$301)-MIN(F$2:F$301)))+0.000000001)</f>
        <v/>
      </c>
      <c r="N105">
        <f>IF(Datos!A105="","",IF(MAX(G$2:G$301)-MIN(G$2:G$301)&lt;0.000000001,0.5,(G105-MIN(G$2:G$301))/(MAX(G$2:G$301)-MIN(G$2:G$301)))+0.000000001)</f>
        <v/>
      </c>
      <c r="O105">
        <f>IF(Datos!A105="","",IF(MAX(H$2:H$301)-MIN(H$2:H$301)&lt;0.000000001,0.5,(H105-MIN(H$2:H$301))/(MAX(H$2:H$301)-MIN(H$2:H$301)))+0.000000001)</f>
        <v/>
      </c>
      <c r="Q105">
        <f>IF(Datos!A105="","",(J105/SUM(J$2:J$301))*LN(J105/SUM(J$2:J$301)))</f>
        <v/>
      </c>
      <c r="R105">
        <f>IF(Datos!A105="","",(K105/SUM(K$2:K$301))*LN(K105/SUM(K$2:K$301)))</f>
        <v/>
      </c>
      <c r="S105">
        <f>IF(Datos!A105="","",(L105/SUM(L$2:L$301))*LN(L105/SUM(L$2:L$301)))</f>
        <v/>
      </c>
      <c r="T105">
        <f>IF(Datos!A105="","",(M105/SUM(M$2:M$301))*LN(M105/SUM(M$2:M$301)))</f>
        <v/>
      </c>
      <c r="U105">
        <f>IF(Datos!A105="","",(N105/SUM(N$2:N$301))*LN(N105/SUM(N$2:N$301)))</f>
        <v/>
      </c>
      <c r="V105">
        <f>IF(Datos!A105="","",(O105/SUM(O$2:O$301))*LN(O105/SUM(O$2:O$301)))</f>
        <v/>
      </c>
      <c r="X105">
        <f>IF(Datos!A105="","",IF(SUMSQ(C$2:C$301)=0,0,C105/SQRT(SUMSQ(C$2:C$301)))*$BE$2)</f>
        <v/>
      </c>
      <c r="Y105">
        <f>IF(Datos!A105="","",IF(SUMSQ(D$2:D$301)=0,0,D105/SQRT(SUMSQ(D$2:D$301)))*$BE$3)</f>
        <v/>
      </c>
      <c r="Z105">
        <f>IF(Datos!A105="","",IF(SUMSQ(E$2:E$301)=0,0,E105/SQRT(SUMSQ(E$2:E$301)))*$BE$4)</f>
        <v/>
      </c>
      <c r="AA105">
        <f>IF(Datos!A105="","",IF(SUMSQ(F$2:F$301)=0,0,F105/SQRT(SUMSQ(F$2:F$301)))*$BE$5)</f>
        <v/>
      </c>
      <c r="AB105">
        <f>IF(Datos!A105="","",IF(SUMSQ(G$2:G$301)=0,0,G105/SQRT(SUMSQ(G$2:G$301)))*$BE$6)</f>
        <v/>
      </c>
      <c r="AC105">
        <f>IF(Datos!A105="","",IF(SUMSQ(H$2:H$301)=0,0,H105/SQRT(SUMSQ(H$2:H$301)))*$BE$7)</f>
        <v/>
      </c>
      <c r="AE105">
        <f>IF(Datos!A105="","",SQRT(SUMXMY2(X105:AC105,$X$303:$AC$303)))</f>
        <v/>
      </c>
      <c r="AF105">
        <f>IF(Datos!A105="","",SQRT(SUMXMY2(X105:AC105,$X$304:$AC$304)))</f>
        <v/>
      </c>
      <c r="AG105" s="11">
        <f>IF(Datos!A105="","",IF(AE105+AF105&lt;0.000000001,0.5,AF105/(AE105+AF105)))</f>
        <v/>
      </c>
      <c r="AH105">
        <f>IF(Datos!A105="","",AG105*MAX(C105*D105,1))</f>
        <v/>
      </c>
      <c r="AI105">
        <f>IF(Datos!A105="","",SUMIF($AH$2:$AH$301,"&gt;="&amp;AH105,$AH$2:$AH$301)/SUM($AH$2:$AH$301))</f>
        <v/>
      </c>
      <c r="AJ105" s="12">
        <f>IF(Datos!A105="","",IF(AI105&lt;=Parametros!$B$13,"A",IF(AI105&lt;=Parametros!$B$14,"B","C")))</f>
        <v/>
      </c>
      <c r="AK105" s="13">
        <f>IF(Datos!A105="","",VLOOKUP(AJ105,Parametros!$A$8:$C$10,2,FALSE))</f>
        <v/>
      </c>
      <c r="AL105">
        <f>IF(Datos!A105="","",VLOOKUP(AJ105,Parametros!$A$8:$C$10,3,FALSE))</f>
        <v/>
      </c>
      <c r="AM105">
        <f>IF(Datos!A105="","",NORMSINV(AK105))</f>
        <v/>
      </c>
      <c r="AN105">
        <f>IF(Datos!A105="","",D105/Parametros!$B$4)</f>
        <v/>
      </c>
      <c r="AO105">
        <f>IF(Datos!A105="","",MAX(0,ROUNDUP(AM105*(AN105*Parametros!$B$3)*SQRT((AL105+E105)),0)))</f>
        <v/>
      </c>
      <c r="AP105">
        <f>IF(Datos!A105="","",MAX(1,ROUNDUP(AN105*(AL105+E105)+AM105*(AN105*Parametros!$B$3)*SQRT((AL105+E105)),0)))</f>
        <v/>
      </c>
      <c r="AQ105">
        <f>IF(Datos!A105="","",IF(Datos!J105="","",Datos!J105))</f>
        <v/>
      </c>
      <c r="AR105">
        <f>IF(OR(Datos!A105="",AQ105=""),"",MAX(0,AQ105-AP105))</f>
        <v/>
      </c>
      <c r="AS105" s="10">
        <f>IF(OR(Datos!A105="",AQ105=""),"",AR105*C105)</f>
        <v/>
      </c>
      <c r="AT105" s="12">
        <f>IF(OR(Datos!A105="",AQ105=""),"",IF(AQ105&lt;AO105,"SI",""))</f>
        <v/>
      </c>
      <c r="AU105">
        <f>IF(Datos!A105="","",IF(AT105="SI","Reponer ahora",IF(AND(AQ105&lt;&gt;"",AR105&gt;0),"Bajar "&amp;TEXT(AR105,"#,##0")&amp;" un.","En rango")))</f>
        <v/>
      </c>
    </row>
    <row r="106">
      <c r="A106">
        <f>IF(Datos!A106="","",Datos!A106)</f>
        <v/>
      </c>
      <c r="B106">
        <f>IF(Datos!A106="","",Datos!B106)</f>
        <v/>
      </c>
      <c r="C106">
        <f>IF(Datos!A106="","",IFERROR(MAX(0,N(Datos!D106)),0))</f>
        <v/>
      </c>
      <c r="D106">
        <f>IF(Datos!A106="","",IFERROR(MAX(0,N(Datos!E106)),0))</f>
        <v/>
      </c>
      <c r="E106">
        <f>IF(Datos!A106="","",IFERROR(MAX(0,N(Datos!F106)),0))</f>
        <v/>
      </c>
      <c r="F106">
        <f>IF(Datos!A106="","",IFERROR(MAX(0,N(Datos!G106)),0))</f>
        <v/>
      </c>
      <c r="G106">
        <f>IF(Datos!A106="","",IFERROR(MAX(0,N(Datos!H106)),0))</f>
        <v/>
      </c>
      <c r="H106">
        <f>IF(Datos!A106="","",IFERROR(MAX(0,N(Datos!I106)),0))</f>
        <v/>
      </c>
      <c r="J106">
        <f>IF(Datos!A106="","",IF(MAX(C$2:C$301)-MIN(C$2:C$301)&lt;0.000000001,0.5,(C106-MIN(C$2:C$301))/(MAX(C$2:C$301)-MIN(C$2:C$301)))+0.000000001)</f>
        <v/>
      </c>
      <c r="K106">
        <f>IF(Datos!A106="","",IF(MAX(D$2:D$301)-MIN(D$2:D$301)&lt;0.000000001,0.5,(D106-MIN(D$2:D$301))/(MAX(D$2:D$301)-MIN(D$2:D$301)))+0.000000001)</f>
        <v/>
      </c>
      <c r="L106">
        <f>IF(Datos!A106="","",IF(MAX(E$2:E$301)-MIN(E$2:E$301)&lt;0.000000001,0.5,(E106-MIN(E$2:E$301))/(MAX(E$2:E$301)-MIN(E$2:E$301)))+0.000000001)</f>
        <v/>
      </c>
      <c r="M106">
        <f>IF(Datos!A106="","",IF(MAX(F$2:F$301)-MIN(F$2:F$301)&lt;0.000000001,0.5,(F106-MIN(F$2:F$301))/(MAX(F$2:F$301)-MIN(F$2:F$301)))+0.000000001)</f>
        <v/>
      </c>
      <c r="N106">
        <f>IF(Datos!A106="","",IF(MAX(G$2:G$301)-MIN(G$2:G$301)&lt;0.000000001,0.5,(G106-MIN(G$2:G$301))/(MAX(G$2:G$301)-MIN(G$2:G$301)))+0.000000001)</f>
        <v/>
      </c>
      <c r="O106">
        <f>IF(Datos!A106="","",IF(MAX(H$2:H$301)-MIN(H$2:H$301)&lt;0.000000001,0.5,(H106-MIN(H$2:H$301))/(MAX(H$2:H$301)-MIN(H$2:H$301)))+0.000000001)</f>
        <v/>
      </c>
      <c r="Q106">
        <f>IF(Datos!A106="","",(J106/SUM(J$2:J$301))*LN(J106/SUM(J$2:J$301)))</f>
        <v/>
      </c>
      <c r="R106">
        <f>IF(Datos!A106="","",(K106/SUM(K$2:K$301))*LN(K106/SUM(K$2:K$301)))</f>
        <v/>
      </c>
      <c r="S106">
        <f>IF(Datos!A106="","",(L106/SUM(L$2:L$301))*LN(L106/SUM(L$2:L$301)))</f>
        <v/>
      </c>
      <c r="T106">
        <f>IF(Datos!A106="","",(M106/SUM(M$2:M$301))*LN(M106/SUM(M$2:M$301)))</f>
        <v/>
      </c>
      <c r="U106">
        <f>IF(Datos!A106="","",(N106/SUM(N$2:N$301))*LN(N106/SUM(N$2:N$301)))</f>
        <v/>
      </c>
      <c r="V106">
        <f>IF(Datos!A106="","",(O106/SUM(O$2:O$301))*LN(O106/SUM(O$2:O$301)))</f>
        <v/>
      </c>
      <c r="X106">
        <f>IF(Datos!A106="","",IF(SUMSQ(C$2:C$301)=0,0,C106/SQRT(SUMSQ(C$2:C$301)))*$BE$2)</f>
        <v/>
      </c>
      <c r="Y106">
        <f>IF(Datos!A106="","",IF(SUMSQ(D$2:D$301)=0,0,D106/SQRT(SUMSQ(D$2:D$301)))*$BE$3)</f>
        <v/>
      </c>
      <c r="Z106">
        <f>IF(Datos!A106="","",IF(SUMSQ(E$2:E$301)=0,0,E106/SQRT(SUMSQ(E$2:E$301)))*$BE$4)</f>
        <v/>
      </c>
      <c r="AA106">
        <f>IF(Datos!A106="","",IF(SUMSQ(F$2:F$301)=0,0,F106/SQRT(SUMSQ(F$2:F$301)))*$BE$5)</f>
        <v/>
      </c>
      <c r="AB106">
        <f>IF(Datos!A106="","",IF(SUMSQ(G$2:G$301)=0,0,G106/SQRT(SUMSQ(G$2:G$301)))*$BE$6)</f>
        <v/>
      </c>
      <c r="AC106">
        <f>IF(Datos!A106="","",IF(SUMSQ(H$2:H$301)=0,0,H106/SQRT(SUMSQ(H$2:H$301)))*$BE$7)</f>
        <v/>
      </c>
      <c r="AE106">
        <f>IF(Datos!A106="","",SQRT(SUMXMY2(X106:AC106,$X$303:$AC$303)))</f>
        <v/>
      </c>
      <c r="AF106">
        <f>IF(Datos!A106="","",SQRT(SUMXMY2(X106:AC106,$X$304:$AC$304)))</f>
        <v/>
      </c>
      <c r="AG106" s="11">
        <f>IF(Datos!A106="","",IF(AE106+AF106&lt;0.000000001,0.5,AF106/(AE106+AF106)))</f>
        <v/>
      </c>
      <c r="AH106">
        <f>IF(Datos!A106="","",AG106*MAX(C106*D106,1))</f>
        <v/>
      </c>
      <c r="AI106">
        <f>IF(Datos!A106="","",SUMIF($AH$2:$AH$301,"&gt;="&amp;AH106,$AH$2:$AH$301)/SUM($AH$2:$AH$301))</f>
        <v/>
      </c>
      <c r="AJ106" s="12">
        <f>IF(Datos!A106="","",IF(AI106&lt;=Parametros!$B$13,"A",IF(AI106&lt;=Parametros!$B$14,"B","C")))</f>
        <v/>
      </c>
      <c r="AK106" s="13">
        <f>IF(Datos!A106="","",VLOOKUP(AJ106,Parametros!$A$8:$C$10,2,FALSE))</f>
        <v/>
      </c>
      <c r="AL106">
        <f>IF(Datos!A106="","",VLOOKUP(AJ106,Parametros!$A$8:$C$10,3,FALSE))</f>
        <v/>
      </c>
      <c r="AM106">
        <f>IF(Datos!A106="","",NORMSINV(AK106))</f>
        <v/>
      </c>
      <c r="AN106">
        <f>IF(Datos!A106="","",D106/Parametros!$B$4)</f>
        <v/>
      </c>
      <c r="AO106">
        <f>IF(Datos!A106="","",MAX(0,ROUNDUP(AM106*(AN106*Parametros!$B$3)*SQRT((AL106+E106)),0)))</f>
        <v/>
      </c>
      <c r="AP106">
        <f>IF(Datos!A106="","",MAX(1,ROUNDUP(AN106*(AL106+E106)+AM106*(AN106*Parametros!$B$3)*SQRT((AL106+E106)),0)))</f>
        <v/>
      </c>
      <c r="AQ106">
        <f>IF(Datos!A106="","",IF(Datos!J106="","",Datos!J106))</f>
        <v/>
      </c>
      <c r="AR106">
        <f>IF(OR(Datos!A106="",AQ106=""),"",MAX(0,AQ106-AP106))</f>
        <v/>
      </c>
      <c r="AS106" s="10">
        <f>IF(OR(Datos!A106="",AQ106=""),"",AR106*C106)</f>
        <v/>
      </c>
      <c r="AT106" s="12">
        <f>IF(OR(Datos!A106="",AQ106=""),"",IF(AQ106&lt;AO106,"SI",""))</f>
        <v/>
      </c>
      <c r="AU106">
        <f>IF(Datos!A106="","",IF(AT106="SI","Reponer ahora",IF(AND(AQ106&lt;&gt;"",AR106&gt;0),"Bajar "&amp;TEXT(AR106,"#,##0")&amp;" un.","En rango")))</f>
        <v/>
      </c>
    </row>
    <row r="107">
      <c r="A107">
        <f>IF(Datos!A107="","",Datos!A107)</f>
        <v/>
      </c>
      <c r="B107">
        <f>IF(Datos!A107="","",Datos!B107)</f>
        <v/>
      </c>
      <c r="C107">
        <f>IF(Datos!A107="","",IFERROR(MAX(0,N(Datos!D107)),0))</f>
        <v/>
      </c>
      <c r="D107">
        <f>IF(Datos!A107="","",IFERROR(MAX(0,N(Datos!E107)),0))</f>
        <v/>
      </c>
      <c r="E107">
        <f>IF(Datos!A107="","",IFERROR(MAX(0,N(Datos!F107)),0))</f>
        <v/>
      </c>
      <c r="F107">
        <f>IF(Datos!A107="","",IFERROR(MAX(0,N(Datos!G107)),0))</f>
        <v/>
      </c>
      <c r="G107">
        <f>IF(Datos!A107="","",IFERROR(MAX(0,N(Datos!H107)),0))</f>
        <v/>
      </c>
      <c r="H107">
        <f>IF(Datos!A107="","",IFERROR(MAX(0,N(Datos!I107)),0))</f>
        <v/>
      </c>
      <c r="J107">
        <f>IF(Datos!A107="","",IF(MAX(C$2:C$301)-MIN(C$2:C$301)&lt;0.000000001,0.5,(C107-MIN(C$2:C$301))/(MAX(C$2:C$301)-MIN(C$2:C$301)))+0.000000001)</f>
        <v/>
      </c>
      <c r="K107">
        <f>IF(Datos!A107="","",IF(MAX(D$2:D$301)-MIN(D$2:D$301)&lt;0.000000001,0.5,(D107-MIN(D$2:D$301))/(MAX(D$2:D$301)-MIN(D$2:D$301)))+0.000000001)</f>
        <v/>
      </c>
      <c r="L107">
        <f>IF(Datos!A107="","",IF(MAX(E$2:E$301)-MIN(E$2:E$301)&lt;0.000000001,0.5,(E107-MIN(E$2:E$301))/(MAX(E$2:E$301)-MIN(E$2:E$301)))+0.000000001)</f>
        <v/>
      </c>
      <c r="M107">
        <f>IF(Datos!A107="","",IF(MAX(F$2:F$301)-MIN(F$2:F$301)&lt;0.000000001,0.5,(F107-MIN(F$2:F$301))/(MAX(F$2:F$301)-MIN(F$2:F$301)))+0.000000001)</f>
        <v/>
      </c>
      <c r="N107">
        <f>IF(Datos!A107="","",IF(MAX(G$2:G$301)-MIN(G$2:G$301)&lt;0.000000001,0.5,(G107-MIN(G$2:G$301))/(MAX(G$2:G$301)-MIN(G$2:G$301)))+0.000000001)</f>
        <v/>
      </c>
      <c r="O107">
        <f>IF(Datos!A107="","",IF(MAX(H$2:H$301)-MIN(H$2:H$301)&lt;0.000000001,0.5,(H107-MIN(H$2:H$301))/(MAX(H$2:H$301)-MIN(H$2:H$301)))+0.000000001)</f>
        <v/>
      </c>
      <c r="Q107">
        <f>IF(Datos!A107="","",(J107/SUM(J$2:J$301))*LN(J107/SUM(J$2:J$301)))</f>
        <v/>
      </c>
      <c r="R107">
        <f>IF(Datos!A107="","",(K107/SUM(K$2:K$301))*LN(K107/SUM(K$2:K$301)))</f>
        <v/>
      </c>
      <c r="S107">
        <f>IF(Datos!A107="","",(L107/SUM(L$2:L$301))*LN(L107/SUM(L$2:L$301)))</f>
        <v/>
      </c>
      <c r="T107">
        <f>IF(Datos!A107="","",(M107/SUM(M$2:M$301))*LN(M107/SUM(M$2:M$301)))</f>
        <v/>
      </c>
      <c r="U107">
        <f>IF(Datos!A107="","",(N107/SUM(N$2:N$301))*LN(N107/SUM(N$2:N$301)))</f>
        <v/>
      </c>
      <c r="V107">
        <f>IF(Datos!A107="","",(O107/SUM(O$2:O$301))*LN(O107/SUM(O$2:O$301)))</f>
        <v/>
      </c>
      <c r="X107">
        <f>IF(Datos!A107="","",IF(SUMSQ(C$2:C$301)=0,0,C107/SQRT(SUMSQ(C$2:C$301)))*$BE$2)</f>
        <v/>
      </c>
      <c r="Y107">
        <f>IF(Datos!A107="","",IF(SUMSQ(D$2:D$301)=0,0,D107/SQRT(SUMSQ(D$2:D$301)))*$BE$3)</f>
        <v/>
      </c>
      <c r="Z107">
        <f>IF(Datos!A107="","",IF(SUMSQ(E$2:E$301)=0,0,E107/SQRT(SUMSQ(E$2:E$301)))*$BE$4)</f>
        <v/>
      </c>
      <c r="AA107">
        <f>IF(Datos!A107="","",IF(SUMSQ(F$2:F$301)=0,0,F107/SQRT(SUMSQ(F$2:F$301)))*$BE$5)</f>
        <v/>
      </c>
      <c r="AB107">
        <f>IF(Datos!A107="","",IF(SUMSQ(G$2:G$301)=0,0,G107/SQRT(SUMSQ(G$2:G$301)))*$BE$6)</f>
        <v/>
      </c>
      <c r="AC107">
        <f>IF(Datos!A107="","",IF(SUMSQ(H$2:H$301)=0,0,H107/SQRT(SUMSQ(H$2:H$301)))*$BE$7)</f>
        <v/>
      </c>
      <c r="AE107">
        <f>IF(Datos!A107="","",SQRT(SUMXMY2(X107:AC107,$X$303:$AC$303)))</f>
        <v/>
      </c>
      <c r="AF107">
        <f>IF(Datos!A107="","",SQRT(SUMXMY2(X107:AC107,$X$304:$AC$304)))</f>
        <v/>
      </c>
      <c r="AG107" s="11">
        <f>IF(Datos!A107="","",IF(AE107+AF107&lt;0.000000001,0.5,AF107/(AE107+AF107)))</f>
        <v/>
      </c>
      <c r="AH107">
        <f>IF(Datos!A107="","",AG107*MAX(C107*D107,1))</f>
        <v/>
      </c>
      <c r="AI107">
        <f>IF(Datos!A107="","",SUMIF($AH$2:$AH$301,"&gt;="&amp;AH107,$AH$2:$AH$301)/SUM($AH$2:$AH$301))</f>
        <v/>
      </c>
      <c r="AJ107" s="12">
        <f>IF(Datos!A107="","",IF(AI107&lt;=Parametros!$B$13,"A",IF(AI107&lt;=Parametros!$B$14,"B","C")))</f>
        <v/>
      </c>
      <c r="AK107" s="13">
        <f>IF(Datos!A107="","",VLOOKUP(AJ107,Parametros!$A$8:$C$10,2,FALSE))</f>
        <v/>
      </c>
      <c r="AL107">
        <f>IF(Datos!A107="","",VLOOKUP(AJ107,Parametros!$A$8:$C$10,3,FALSE))</f>
        <v/>
      </c>
      <c r="AM107">
        <f>IF(Datos!A107="","",NORMSINV(AK107))</f>
        <v/>
      </c>
      <c r="AN107">
        <f>IF(Datos!A107="","",D107/Parametros!$B$4)</f>
        <v/>
      </c>
      <c r="AO107">
        <f>IF(Datos!A107="","",MAX(0,ROUNDUP(AM107*(AN107*Parametros!$B$3)*SQRT((AL107+E107)),0)))</f>
        <v/>
      </c>
      <c r="AP107">
        <f>IF(Datos!A107="","",MAX(1,ROUNDUP(AN107*(AL107+E107)+AM107*(AN107*Parametros!$B$3)*SQRT((AL107+E107)),0)))</f>
        <v/>
      </c>
      <c r="AQ107">
        <f>IF(Datos!A107="","",IF(Datos!J107="","",Datos!J107))</f>
        <v/>
      </c>
      <c r="AR107">
        <f>IF(OR(Datos!A107="",AQ107=""),"",MAX(0,AQ107-AP107))</f>
        <v/>
      </c>
      <c r="AS107" s="10">
        <f>IF(OR(Datos!A107="",AQ107=""),"",AR107*C107)</f>
        <v/>
      </c>
      <c r="AT107" s="12">
        <f>IF(OR(Datos!A107="",AQ107=""),"",IF(AQ107&lt;AO107,"SI",""))</f>
        <v/>
      </c>
      <c r="AU107">
        <f>IF(Datos!A107="","",IF(AT107="SI","Reponer ahora",IF(AND(AQ107&lt;&gt;"",AR107&gt;0),"Bajar "&amp;TEXT(AR107,"#,##0")&amp;" un.","En rango")))</f>
        <v/>
      </c>
    </row>
    <row r="108">
      <c r="A108">
        <f>IF(Datos!A108="","",Datos!A108)</f>
        <v/>
      </c>
      <c r="B108">
        <f>IF(Datos!A108="","",Datos!B108)</f>
        <v/>
      </c>
      <c r="C108">
        <f>IF(Datos!A108="","",IFERROR(MAX(0,N(Datos!D108)),0))</f>
        <v/>
      </c>
      <c r="D108">
        <f>IF(Datos!A108="","",IFERROR(MAX(0,N(Datos!E108)),0))</f>
        <v/>
      </c>
      <c r="E108">
        <f>IF(Datos!A108="","",IFERROR(MAX(0,N(Datos!F108)),0))</f>
        <v/>
      </c>
      <c r="F108">
        <f>IF(Datos!A108="","",IFERROR(MAX(0,N(Datos!G108)),0))</f>
        <v/>
      </c>
      <c r="G108">
        <f>IF(Datos!A108="","",IFERROR(MAX(0,N(Datos!H108)),0))</f>
        <v/>
      </c>
      <c r="H108">
        <f>IF(Datos!A108="","",IFERROR(MAX(0,N(Datos!I108)),0))</f>
        <v/>
      </c>
      <c r="J108">
        <f>IF(Datos!A108="","",IF(MAX(C$2:C$301)-MIN(C$2:C$301)&lt;0.000000001,0.5,(C108-MIN(C$2:C$301))/(MAX(C$2:C$301)-MIN(C$2:C$301)))+0.000000001)</f>
        <v/>
      </c>
      <c r="K108">
        <f>IF(Datos!A108="","",IF(MAX(D$2:D$301)-MIN(D$2:D$301)&lt;0.000000001,0.5,(D108-MIN(D$2:D$301))/(MAX(D$2:D$301)-MIN(D$2:D$301)))+0.000000001)</f>
        <v/>
      </c>
      <c r="L108">
        <f>IF(Datos!A108="","",IF(MAX(E$2:E$301)-MIN(E$2:E$301)&lt;0.000000001,0.5,(E108-MIN(E$2:E$301))/(MAX(E$2:E$301)-MIN(E$2:E$301)))+0.000000001)</f>
        <v/>
      </c>
      <c r="M108">
        <f>IF(Datos!A108="","",IF(MAX(F$2:F$301)-MIN(F$2:F$301)&lt;0.000000001,0.5,(F108-MIN(F$2:F$301))/(MAX(F$2:F$301)-MIN(F$2:F$301)))+0.000000001)</f>
        <v/>
      </c>
      <c r="N108">
        <f>IF(Datos!A108="","",IF(MAX(G$2:G$301)-MIN(G$2:G$301)&lt;0.000000001,0.5,(G108-MIN(G$2:G$301))/(MAX(G$2:G$301)-MIN(G$2:G$301)))+0.000000001)</f>
        <v/>
      </c>
      <c r="O108">
        <f>IF(Datos!A108="","",IF(MAX(H$2:H$301)-MIN(H$2:H$301)&lt;0.000000001,0.5,(H108-MIN(H$2:H$301))/(MAX(H$2:H$301)-MIN(H$2:H$301)))+0.000000001)</f>
        <v/>
      </c>
      <c r="Q108">
        <f>IF(Datos!A108="","",(J108/SUM(J$2:J$301))*LN(J108/SUM(J$2:J$301)))</f>
        <v/>
      </c>
      <c r="R108">
        <f>IF(Datos!A108="","",(K108/SUM(K$2:K$301))*LN(K108/SUM(K$2:K$301)))</f>
        <v/>
      </c>
      <c r="S108">
        <f>IF(Datos!A108="","",(L108/SUM(L$2:L$301))*LN(L108/SUM(L$2:L$301)))</f>
        <v/>
      </c>
      <c r="T108">
        <f>IF(Datos!A108="","",(M108/SUM(M$2:M$301))*LN(M108/SUM(M$2:M$301)))</f>
        <v/>
      </c>
      <c r="U108">
        <f>IF(Datos!A108="","",(N108/SUM(N$2:N$301))*LN(N108/SUM(N$2:N$301)))</f>
        <v/>
      </c>
      <c r="V108">
        <f>IF(Datos!A108="","",(O108/SUM(O$2:O$301))*LN(O108/SUM(O$2:O$301)))</f>
        <v/>
      </c>
      <c r="X108">
        <f>IF(Datos!A108="","",IF(SUMSQ(C$2:C$301)=0,0,C108/SQRT(SUMSQ(C$2:C$301)))*$BE$2)</f>
        <v/>
      </c>
      <c r="Y108">
        <f>IF(Datos!A108="","",IF(SUMSQ(D$2:D$301)=0,0,D108/SQRT(SUMSQ(D$2:D$301)))*$BE$3)</f>
        <v/>
      </c>
      <c r="Z108">
        <f>IF(Datos!A108="","",IF(SUMSQ(E$2:E$301)=0,0,E108/SQRT(SUMSQ(E$2:E$301)))*$BE$4)</f>
        <v/>
      </c>
      <c r="AA108">
        <f>IF(Datos!A108="","",IF(SUMSQ(F$2:F$301)=0,0,F108/SQRT(SUMSQ(F$2:F$301)))*$BE$5)</f>
        <v/>
      </c>
      <c r="AB108">
        <f>IF(Datos!A108="","",IF(SUMSQ(G$2:G$301)=0,0,G108/SQRT(SUMSQ(G$2:G$301)))*$BE$6)</f>
        <v/>
      </c>
      <c r="AC108">
        <f>IF(Datos!A108="","",IF(SUMSQ(H$2:H$301)=0,0,H108/SQRT(SUMSQ(H$2:H$301)))*$BE$7)</f>
        <v/>
      </c>
      <c r="AE108">
        <f>IF(Datos!A108="","",SQRT(SUMXMY2(X108:AC108,$X$303:$AC$303)))</f>
        <v/>
      </c>
      <c r="AF108">
        <f>IF(Datos!A108="","",SQRT(SUMXMY2(X108:AC108,$X$304:$AC$304)))</f>
        <v/>
      </c>
      <c r="AG108" s="11">
        <f>IF(Datos!A108="","",IF(AE108+AF108&lt;0.000000001,0.5,AF108/(AE108+AF108)))</f>
        <v/>
      </c>
      <c r="AH108">
        <f>IF(Datos!A108="","",AG108*MAX(C108*D108,1))</f>
        <v/>
      </c>
      <c r="AI108">
        <f>IF(Datos!A108="","",SUMIF($AH$2:$AH$301,"&gt;="&amp;AH108,$AH$2:$AH$301)/SUM($AH$2:$AH$301))</f>
        <v/>
      </c>
      <c r="AJ108" s="12">
        <f>IF(Datos!A108="","",IF(AI108&lt;=Parametros!$B$13,"A",IF(AI108&lt;=Parametros!$B$14,"B","C")))</f>
        <v/>
      </c>
      <c r="AK108" s="13">
        <f>IF(Datos!A108="","",VLOOKUP(AJ108,Parametros!$A$8:$C$10,2,FALSE))</f>
        <v/>
      </c>
      <c r="AL108">
        <f>IF(Datos!A108="","",VLOOKUP(AJ108,Parametros!$A$8:$C$10,3,FALSE))</f>
        <v/>
      </c>
      <c r="AM108">
        <f>IF(Datos!A108="","",NORMSINV(AK108))</f>
        <v/>
      </c>
      <c r="AN108">
        <f>IF(Datos!A108="","",D108/Parametros!$B$4)</f>
        <v/>
      </c>
      <c r="AO108">
        <f>IF(Datos!A108="","",MAX(0,ROUNDUP(AM108*(AN108*Parametros!$B$3)*SQRT((AL108+E108)),0)))</f>
        <v/>
      </c>
      <c r="AP108">
        <f>IF(Datos!A108="","",MAX(1,ROUNDUP(AN108*(AL108+E108)+AM108*(AN108*Parametros!$B$3)*SQRT((AL108+E108)),0)))</f>
        <v/>
      </c>
      <c r="AQ108">
        <f>IF(Datos!A108="","",IF(Datos!J108="","",Datos!J108))</f>
        <v/>
      </c>
      <c r="AR108">
        <f>IF(OR(Datos!A108="",AQ108=""),"",MAX(0,AQ108-AP108))</f>
        <v/>
      </c>
      <c r="AS108" s="10">
        <f>IF(OR(Datos!A108="",AQ108=""),"",AR108*C108)</f>
        <v/>
      </c>
      <c r="AT108" s="12">
        <f>IF(OR(Datos!A108="",AQ108=""),"",IF(AQ108&lt;AO108,"SI",""))</f>
        <v/>
      </c>
      <c r="AU108">
        <f>IF(Datos!A108="","",IF(AT108="SI","Reponer ahora",IF(AND(AQ108&lt;&gt;"",AR108&gt;0),"Bajar "&amp;TEXT(AR108,"#,##0")&amp;" un.","En rango")))</f>
        <v/>
      </c>
    </row>
    <row r="109">
      <c r="A109">
        <f>IF(Datos!A109="","",Datos!A109)</f>
        <v/>
      </c>
      <c r="B109">
        <f>IF(Datos!A109="","",Datos!B109)</f>
        <v/>
      </c>
      <c r="C109">
        <f>IF(Datos!A109="","",IFERROR(MAX(0,N(Datos!D109)),0))</f>
        <v/>
      </c>
      <c r="D109">
        <f>IF(Datos!A109="","",IFERROR(MAX(0,N(Datos!E109)),0))</f>
        <v/>
      </c>
      <c r="E109">
        <f>IF(Datos!A109="","",IFERROR(MAX(0,N(Datos!F109)),0))</f>
        <v/>
      </c>
      <c r="F109">
        <f>IF(Datos!A109="","",IFERROR(MAX(0,N(Datos!G109)),0))</f>
        <v/>
      </c>
      <c r="G109">
        <f>IF(Datos!A109="","",IFERROR(MAX(0,N(Datos!H109)),0))</f>
        <v/>
      </c>
      <c r="H109">
        <f>IF(Datos!A109="","",IFERROR(MAX(0,N(Datos!I109)),0))</f>
        <v/>
      </c>
      <c r="J109">
        <f>IF(Datos!A109="","",IF(MAX(C$2:C$301)-MIN(C$2:C$301)&lt;0.000000001,0.5,(C109-MIN(C$2:C$301))/(MAX(C$2:C$301)-MIN(C$2:C$301)))+0.000000001)</f>
        <v/>
      </c>
      <c r="K109">
        <f>IF(Datos!A109="","",IF(MAX(D$2:D$301)-MIN(D$2:D$301)&lt;0.000000001,0.5,(D109-MIN(D$2:D$301))/(MAX(D$2:D$301)-MIN(D$2:D$301)))+0.000000001)</f>
        <v/>
      </c>
      <c r="L109">
        <f>IF(Datos!A109="","",IF(MAX(E$2:E$301)-MIN(E$2:E$301)&lt;0.000000001,0.5,(E109-MIN(E$2:E$301))/(MAX(E$2:E$301)-MIN(E$2:E$301)))+0.000000001)</f>
        <v/>
      </c>
      <c r="M109">
        <f>IF(Datos!A109="","",IF(MAX(F$2:F$301)-MIN(F$2:F$301)&lt;0.000000001,0.5,(F109-MIN(F$2:F$301))/(MAX(F$2:F$301)-MIN(F$2:F$301)))+0.000000001)</f>
        <v/>
      </c>
      <c r="N109">
        <f>IF(Datos!A109="","",IF(MAX(G$2:G$301)-MIN(G$2:G$301)&lt;0.000000001,0.5,(G109-MIN(G$2:G$301))/(MAX(G$2:G$301)-MIN(G$2:G$301)))+0.000000001)</f>
        <v/>
      </c>
      <c r="O109">
        <f>IF(Datos!A109="","",IF(MAX(H$2:H$301)-MIN(H$2:H$301)&lt;0.000000001,0.5,(H109-MIN(H$2:H$301))/(MAX(H$2:H$301)-MIN(H$2:H$301)))+0.000000001)</f>
        <v/>
      </c>
      <c r="Q109">
        <f>IF(Datos!A109="","",(J109/SUM(J$2:J$301))*LN(J109/SUM(J$2:J$301)))</f>
        <v/>
      </c>
      <c r="R109">
        <f>IF(Datos!A109="","",(K109/SUM(K$2:K$301))*LN(K109/SUM(K$2:K$301)))</f>
        <v/>
      </c>
      <c r="S109">
        <f>IF(Datos!A109="","",(L109/SUM(L$2:L$301))*LN(L109/SUM(L$2:L$301)))</f>
        <v/>
      </c>
      <c r="T109">
        <f>IF(Datos!A109="","",(M109/SUM(M$2:M$301))*LN(M109/SUM(M$2:M$301)))</f>
        <v/>
      </c>
      <c r="U109">
        <f>IF(Datos!A109="","",(N109/SUM(N$2:N$301))*LN(N109/SUM(N$2:N$301)))</f>
        <v/>
      </c>
      <c r="V109">
        <f>IF(Datos!A109="","",(O109/SUM(O$2:O$301))*LN(O109/SUM(O$2:O$301)))</f>
        <v/>
      </c>
      <c r="X109">
        <f>IF(Datos!A109="","",IF(SUMSQ(C$2:C$301)=0,0,C109/SQRT(SUMSQ(C$2:C$301)))*$BE$2)</f>
        <v/>
      </c>
      <c r="Y109">
        <f>IF(Datos!A109="","",IF(SUMSQ(D$2:D$301)=0,0,D109/SQRT(SUMSQ(D$2:D$301)))*$BE$3)</f>
        <v/>
      </c>
      <c r="Z109">
        <f>IF(Datos!A109="","",IF(SUMSQ(E$2:E$301)=0,0,E109/SQRT(SUMSQ(E$2:E$301)))*$BE$4)</f>
        <v/>
      </c>
      <c r="AA109">
        <f>IF(Datos!A109="","",IF(SUMSQ(F$2:F$301)=0,0,F109/SQRT(SUMSQ(F$2:F$301)))*$BE$5)</f>
        <v/>
      </c>
      <c r="AB109">
        <f>IF(Datos!A109="","",IF(SUMSQ(G$2:G$301)=0,0,G109/SQRT(SUMSQ(G$2:G$301)))*$BE$6)</f>
        <v/>
      </c>
      <c r="AC109">
        <f>IF(Datos!A109="","",IF(SUMSQ(H$2:H$301)=0,0,H109/SQRT(SUMSQ(H$2:H$301)))*$BE$7)</f>
        <v/>
      </c>
      <c r="AE109">
        <f>IF(Datos!A109="","",SQRT(SUMXMY2(X109:AC109,$X$303:$AC$303)))</f>
        <v/>
      </c>
      <c r="AF109">
        <f>IF(Datos!A109="","",SQRT(SUMXMY2(X109:AC109,$X$304:$AC$304)))</f>
        <v/>
      </c>
      <c r="AG109" s="11">
        <f>IF(Datos!A109="","",IF(AE109+AF109&lt;0.000000001,0.5,AF109/(AE109+AF109)))</f>
        <v/>
      </c>
      <c r="AH109">
        <f>IF(Datos!A109="","",AG109*MAX(C109*D109,1))</f>
        <v/>
      </c>
      <c r="AI109">
        <f>IF(Datos!A109="","",SUMIF($AH$2:$AH$301,"&gt;="&amp;AH109,$AH$2:$AH$301)/SUM($AH$2:$AH$301))</f>
        <v/>
      </c>
      <c r="AJ109" s="12">
        <f>IF(Datos!A109="","",IF(AI109&lt;=Parametros!$B$13,"A",IF(AI109&lt;=Parametros!$B$14,"B","C")))</f>
        <v/>
      </c>
      <c r="AK109" s="13">
        <f>IF(Datos!A109="","",VLOOKUP(AJ109,Parametros!$A$8:$C$10,2,FALSE))</f>
        <v/>
      </c>
      <c r="AL109">
        <f>IF(Datos!A109="","",VLOOKUP(AJ109,Parametros!$A$8:$C$10,3,FALSE))</f>
        <v/>
      </c>
      <c r="AM109">
        <f>IF(Datos!A109="","",NORMSINV(AK109))</f>
        <v/>
      </c>
      <c r="AN109">
        <f>IF(Datos!A109="","",D109/Parametros!$B$4)</f>
        <v/>
      </c>
      <c r="AO109">
        <f>IF(Datos!A109="","",MAX(0,ROUNDUP(AM109*(AN109*Parametros!$B$3)*SQRT((AL109+E109)),0)))</f>
        <v/>
      </c>
      <c r="AP109">
        <f>IF(Datos!A109="","",MAX(1,ROUNDUP(AN109*(AL109+E109)+AM109*(AN109*Parametros!$B$3)*SQRT((AL109+E109)),0)))</f>
        <v/>
      </c>
      <c r="AQ109">
        <f>IF(Datos!A109="","",IF(Datos!J109="","",Datos!J109))</f>
        <v/>
      </c>
      <c r="AR109">
        <f>IF(OR(Datos!A109="",AQ109=""),"",MAX(0,AQ109-AP109))</f>
        <v/>
      </c>
      <c r="AS109" s="10">
        <f>IF(OR(Datos!A109="",AQ109=""),"",AR109*C109)</f>
        <v/>
      </c>
      <c r="AT109" s="12">
        <f>IF(OR(Datos!A109="",AQ109=""),"",IF(AQ109&lt;AO109,"SI",""))</f>
        <v/>
      </c>
      <c r="AU109">
        <f>IF(Datos!A109="","",IF(AT109="SI","Reponer ahora",IF(AND(AQ109&lt;&gt;"",AR109&gt;0),"Bajar "&amp;TEXT(AR109,"#,##0")&amp;" un.","En rango")))</f>
        <v/>
      </c>
    </row>
    <row r="110">
      <c r="A110">
        <f>IF(Datos!A110="","",Datos!A110)</f>
        <v/>
      </c>
      <c r="B110">
        <f>IF(Datos!A110="","",Datos!B110)</f>
        <v/>
      </c>
      <c r="C110">
        <f>IF(Datos!A110="","",IFERROR(MAX(0,N(Datos!D110)),0))</f>
        <v/>
      </c>
      <c r="D110">
        <f>IF(Datos!A110="","",IFERROR(MAX(0,N(Datos!E110)),0))</f>
        <v/>
      </c>
      <c r="E110">
        <f>IF(Datos!A110="","",IFERROR(MAX(0,N(Datos!F110)),0))</f>
        <v/>
      </c>
      <c r="F110">
        <f>IF(Datos!A110="","",IFERROR(MAX(0,N(Datos!G110)),0))</f>
        <v/>
      </c>
      <c r="G110">
        <f>IF(Datos!A110="","",IFERROR(MAX(0,N(Datos!H110)),0))</f>
        <v/>
      </c>
      <c r="H110">
        <f>IF(Datos!A110="","",IFERROR(MAX(0,N(Datos!I110)),0))</f>
        <v/>
      </c>
      <c r="J110">
        <f>IF(Datos!A110="","",IF(MAX(C$2:C$301)-MIN(C$2:C$301)&lt;0.000000001,0.5,(C110-MIN(C$2:C$301))/(MAX(C$2:C$301)-MIN(C$2:C$301)))+0.000000001)</f>
        <v/>
      </c>
      <c r="K110">
        <f>IF(Datos!A110="","",IF(MAX(D$2:D$301)-MIN(D$2:D$301)&lt;0.000000001,0.5,(D110-MIN(D$2:D$301))/(MAX(D$2:D$301)-MIN(D$2:D$301)))+0.000000001)</f>
        <v/>
      </c>
      <c r="L110">
        <f>IF(Datos!A110="","",IF(MAX(E$2:E$301)-MIN(E$2:E$301)&lt;0.000000001,0.5,(E110-MIN(E$2:E$301))/(MAX(E$2:E$301)-MIN(E$2:E$301)))+0.000000001)</f>
        <v/>
      </c>
      <c r="M110">
        <f>IF(Datos!A110="","",IF(MAX(F$2:F$301)-MIN(F$2:F$301)&lt;0.000000001,0.5,(F110-MIN(F$2:F$301))/(MAX(F$2:F$301)-MIN(F$2:F$301)))+0.000000001)</f>
        <v/>
      </c>
      <c r="N110">
        <f>IF(Datos!A110="","",IF(MAX(G$2:G$301)-MIN(G$2:G$301)&lt;0.000000001,0.5,(G110-MIN(G$2:G$301))/(MAX(G$2:G$301)-MIN(G$2:G$301)))+0.000000001)</f>
        <v/>
      </c>
      <c r="O110">
        <f>IF(Datos!A110="","",IF(MAX(H$2:H$301)-MIN(H$2:H$301)&lt;0.000000001,0.5,(H110-MIN(H$2:H$301))/(MAX(H$2:H$301)-MIN(H$2:H$301)))+0.000000001)</f>
        <v/>
      </c>
      <c r="Q110">
        <f>IF(Datos!A110="","",(J110/SUM(J$2:J$301))*LN(J110/SUM(J$2:J$301)))</f>
        <v/>
      </c>
      <c r="R110">
        <f>IF(Datos!A110="","",(K110/SUM(K$2:K$301))*LN(K110/SUM(K$2:K$301)))</f>
        <v/>
      </c>
      <c r="S110">
        <f>IF(Datos!A110="","",(L110/SUM(L$2:L$301))*LN(L110/SUM(L$2:L$301)))</f>
        <v/>
      </c>
      <c r="T110">
        <f>IF(Datos!A110="","",(M110/SUM(M$2:M$301))*LN(M110/SUM(M$2:M$301)))</f>
        <v/>
      </c>
      <c r="U110">
        <f>IF(Datos!A110="","",(N110/SUM(N$2:N$301))*LN(N110/SUM(N$2:N$301)))</f>
        <v/>
      </c>
      <c r="V110">
        <f>IF(Datos!A110="","",(O110/SUM(O$2:O$301))*LN(O110/SUM(O$2:O$301)))</f>
        <v/>
      </c>
      <c r="X110">
        <f>IF(Datos!A110="","",IF(SUMSQ(C$2:C$301)=0,0,C110/SQRT(SUMSQ(C$2:C$301)))*$BE$2)</f>
        <v/>
      </c>
      <c r="Y110">
        <f>IF(Datos!A110="","",IF(SUMSQ(D$2:D$301)=0,0,D110/SQRT(SUMSQ(D$2:D$301)))*$BE$3)</f>
        <v/>
      </c>
      <c r="Z110">
        <f>IF(Datos!A110="","",IF(SUMSQ(E$2:E$301)=0,0,E110/SQRT(SUMSQ(E$2:E$301)))*$BE$4)</f>
        <v/>
      </c>
      <c r="AA110">
        <f>IF(Datos!A110="","",IF(SUMSQ(F$2:F$301)=0,0,F110/SQRT(SUMSQ(F$2:F$301)))*$BE$5)</f>
        <v/>
      </c>
      <c r="AB110">
        <f>IF(Datos!A110="","",IF(SUMSQ(G$2:G$301)=0,0,G110/SQRT(SUMSQ(G$2:G$301)))*$BE$6)</f>
        <v/>
      </c>
      <c r="AC110">
        <f>IF(Datos!A110="","",IF(SUMSQ(H$2:H$301)=0,0,H110/SQRT(SUMSQ(H$2:H$301)))*$BE$7)</f>
        <v/>
      </c>
      <c r="AE110">
        <f>IF(Datos!A110="","",SQRT(SUMXMY2(X110:AC110,$X$303:$AC$303)))</f>
        <v/>
      </c>
      <c r="AF110">
        <f>IF(Datos!A110="","",SQRT(SUMXMY2(X110:AC110,$X$304:$AC$304)))</f>
        <v/>
      </c>
      <c r="AG110" s="11">
        <f>IF(Datos!A110="","",IF(AE110+AF110&lt;0.000000001,0.5,AF110/(AE110+AF110)))</f>
        <v/>
      </c>
      <c r="AH110">
        <f>IF(Datos!A110="","",AG110*MAX(C110*D110,1))</f>
        <v/>
      </c>
      <c r="AI110">
        <f>IF(Datos!A110="","",SUMIF($AH$2:$AH$301,"&gt;="&amp;AH110,$AH$2:$AH$301)/SUM($AH$2:$AH$301))</f>
        <v/>
      </c>
      <c r="AJ110" s="12">
        <f>IF(Datos!A110="","",IF(AI110&lt;=Parametros!$B$13,"A",IF(AI110&lt;=Parametros!$B$14,"B","C")))</f>
        <v/>
      </c>
      <c r="AK110" s="13">
        <f>IF(Datos!A110="","",VLOOKUP(AJ110,Parametros!$A$8:$C$10,2,FALSE))</f>
        <v/>
      </c>
      <c r="AL110">
        <f>IF(Datos!A110="","",VLOOKUP(AJ110,Parametros!$A$8:$C$10,3,FALSE))</f>
        <v/>
      </c>
      <c r="AM110">
        <f>IF(Datos!A110="","",NORMSINV(AK110))</f>
        <v/>
      </c>
      <c r="AN110">
        <f>IF(Datos!A110="","",D110/Parametros!$B$4)</f>
        <v/>
      </c>
      <c r="AO110">
        <f>IF(Datos!A110="","",MAX(0,ROUNDUP(AM110*(AN110*Parametros!$B$3)*SQRT((AL110+E110)),0)))</f>
        <v/>
      </c>
      <c r="AP110">
        <f>IF(Datos!A110="","",MAX(1,ROUNDUP(AN110*(AL110+E110)+AM110*(AN110*Parametros!$B$3)*SQRT((AL110+E110)),0)))</f>
        <v/>
      </c>
      <c r="AQ110">
        <f>IF(Datos!A110="","",IF(Datos!J110="","",Datos!J110))</f>
        <v/>
      </c>
      <c r="AR110">
        <f>IF(OR(Datos!A110="",AQ110=""),"",MAX(0,AQ110-AP110))</f>
        <v/>
      </c>
      <c r="AS110" s="10">
        <f>IF(OR(Datos!A110="",AQ110=""),"",AR110*C110)</f>
        <v/>
      </c>
      <c r="AT110" s="12">
        <f>IF(OR(Datos!A110="",AQ110=""),"",IF(AQ110&lt;AO110,"SI",""))</f>
        <v/>
      </c>
      <c r="AU110">
        <f>IF(Datos!A110="","",IF(AT110="SI","Reponer ahora",IF(AND(AQ110&lt;&gt;"",AR110&gt;0),"Bajar "&amp;TEXT(AR110,"#,##0")&amp;" un.","En rango")))</f>
        <v/>
      </c>
    </row>
    <row r="111">
      <c r="A111">
        <f>IF(Datos!A111="","",Datos!A111)</f>
        <v/>
      </c>
      <c r="B111">
        <f>IF(Datos!A111="","",Datos!B111)</f>
        <v/>
      </c>
      <c r="C111">
        <f>IF(Datos!A111="","",IFERROR(MAX(0,N(Datos!D111)),0))</f>
        <v/>
      </c>
      <c r="D111">
        <f>IF(Datos!A111="","",IFERROR(MAX(0,N(Datos!E111)),0))</f>
        <v/>
      </c>
      <c r="E111">
        <f>IF(Datos!A111="","",IFERROR(MAX(0,N(Datos!F111)),0))</f>
        <v/>
      </c>
      <c r="F111">
        <f>IF(Datos!A111="","",IFERROR(MAX(0,N(Datos!G111)),0))</f>
        <v/>
      </c>
      <c r="G111">
        <f>IF(Datos!A111="","",IFERROR(MAX(0,N(Datos!H111)),0))</f>
        <v/>
      </c>
      <c r="H111">
        <f>IF(Datos!A111="","",IFERROR(MAX(0,N(Datos!I111)),0))</f>
        <v/>
      </c>
      <c r="J111">
        <f>IF(Datos!A111="","",IF(MAX(C$2:C$301)-MIN(C$2:C$301)&lt;0.000000001,0.5,(C111-MIN(C$2:C$301))/(MAX(C$2:C$301)-MIN(C$2:C$301)))+0.000000001)</f>
        <v/>
      </c>
      <c r="K111">
        <f>IF(Datos!A111="","",IF(MAX(D$2:D$301)-MIN(D$2:D$301)&lt;0.000000001,0.5,(D111-MIN(D$2:D$301))/(MAX(D$2:D$301)-MIN(D$2:D$301)))+0.000000001)</f>
        <v/>
      </c>
      <c r="L111">
        <f>IF(Datos!A111="","",IF(MAX(E$2:E$301)-MIN(E$2:E$301)&lt;0.000000001,0.5,(E111-MIN(E$2:E$301))/(MAX(E$2:E$301)-MIN(E$2:E$301)))+0.000000001)</f>
        <v/>
      </c>
      <c r="M111">
        <f>IF(Datos!A111="","",IF(MAX(F$2:F$301)-MIN(F$2:F$301)&lt;0.000000001,0.5,(F111-MIN(F$2:F$301))/(MAX(F$2:F$301)-MIN(F$2:F$301)))+0.000000001)</f>
        <v/>
      </c>
      <c r="N111">
        <f>IF(Datos!A111="","",IF(MAX(G$2:G$301)-MIN(G$2:G$301)&lt;0.000000001,0.5,(G111-MIN(G$2:G$301))/(MAX(G$2:G$301)-MIN(G$2:G$301)))+0.000000001)</f>
        <v/>
      </c>
      <c r="O111">
        <f>IF(Datos!A111="","",IF(MAX(H$2:H$301)-MIN(H$2:H$301)&lt;0.000000001,0.5,(H111-MIN(H$2:H$301))/(MAX(H$2:H$301)-MIN(H$2:H$301)))+0.000000001)</f>
        <v/>
      </c>
      <c r="Q111">
        <f>IF(Datos!A111="","",(J111/SUM(J$2:J$301))*LN(J111/SUM(J$2:J$301)))</f>
        <v/>
      </c>
      <c r="R111">
        <f>IF(Datos!A111="","",(K111/SUM(K$2:K$301))*LN(K111/SUM(K$2:K$301)))</f>
        <v/>
      </c>
      <c r="S111">
        <f>IF(Datos!A111="","",(L111/SUM(L$2:L$301))*LN(L111/SUM(L$2:L$301)))</f>
        <v/>
      </c>
      <c r="T111">
        <f>IF(Datos!A111="","",(M111/SUM(M$2:M$301))*LN(M111/SUM(M$2:M$301)))</f>
        <v/>
      </c>
      <c r="U111">
        <f>IF(Datos!A111="","",(N111/SUM(N$2:N$301))*LN(N111/SUM(N$2:N$301)))</f>
        <v/>
      </c>
      <c r="V111">
        <f>IF(Datos!A111="","",(O111/SUM(O$2:O$301))*LN(O111/SUM(O$2:O$301)))</f>
        <v/>
      </c>
      <c r="X111">
        <f>IF(Datos!A111="","",IF(SUMSQ(C$2:C$301)=0,0,C111/SQRT(SUMSQ(C$2:C$301)))*$BE$2)</f>
        <v/>
      </c>
      <c r="Y111">
        <f>IF(Datos!A111="","",IF(SUMSQ(D$2:D$301)=0,0,D111/SQRT(SUMSQ(D$2:D$301)))*$BE$3)</f>
        <v/>
      </c>
      <c r="Z111">
        <f>IF(Datos!A111="","",IF(SUMSQ(E$2:E$301)=0,0,E111/SQRT(SUMSQ(E$2:E$301)))*$BE$4)</f>
        <v/>
      </c>
      <c r="AA111">
        <f>IF(Datos!A111="","",IF(SUMSQ(F$2:F$301)=0,0,F111/SQRT(SUMSQ(F$2:F$301)))*$BE$5)</f>
        <v/>
      </c>
      <c r="AB111">
        <f>IF(Datos!A111="","",IF(SUMSQ(G$2:G$301)=0,0,G111/SQRT(SUMSQ(G$2:G$301)))*$BE$6)</f>
        <v/>
      </c>
      <c r="AC111">
        <f>IF(Datos!A111="","",IF(SUMSQ(H$2:H$301)=0,0,H111/SQRT(SUMSQ(H$2:H$301)))*$BE$7)</f>
        <v/>
      </c>
      <c r="AE111">
        <f>IF(Datos!A111="","",SQRT(SUMXMY2(X111:AC111,$X$303:$AC$303)))</f>
        <v/>
      </c>
      <c r="AF111">
        <f>IF(Datos!A111="","",SQRT(SUMXMY2(X111:AC111,$X$304:$AC$304)))</f>
        <v/>
      </c>
      <c r="AG111" s="11">
        <f>IF(Datos!A111="","",IF(AE111+AF111&lt;0.000000001,0.5,AF111/(AE111+AF111)))</f>
        <v/>
      </c>
      <c r="AH111">
        <f>IF(Datos!A111="","",AG111*MAX(C111*D111,1))</f>
        <v/>
      </c>
      <c r="AI111">
        <f>IF(Datos!A111="","",SUMIF($AH$2:$AH$301,"&gt;="&amp;AH111,$AH$2:$AH$301)/SUM($AH$2:$AH$301))</f>
        <v/>
      </c>
      <c r="AJ111" s="12">
        <f>IF(Datos!A111="","",IF(AI111&lt;=Parametros!$B$13,"A",IF(AI111&lt;=Parametros!$B$14,"B","C")))</f>
        <v/>
      </c>
      <c r="AK111" s="13">
        <f>IF(Datos!A111="","",VLOOKUP(AJ111,Parametros!$A$8:$C$10,2,FALSE))</f>
        <v/>
      </c>
      <c r="AL111">
        <f>IF(Datos!A111="","",VLOOKUP(AJ111,Parametros!$A$8:$C$10,3,FALSE))</f>
        <v/>
      </c>
      <c r="AM111">
        <f>IF(Datos!A111="","",NORMSINV(AK111))</f>
        <v/>
      </c>
      <c r="AN111">
        <f>IF(Datos!A111="","",D111/Parametros!$B$4)</f>
        <v/>
      </c>
      <c r="AO111">
        <f>IF(Datos!A111="","",MAX(0,ROUNDUP(AM111*(AN111*Parametros!$B$3)*SQRT((AL111+E111)),0)))</f>
        <v/>
      </c>
      <c r="AP111">
        <f>IF(Datos!A111="","",MAX(1,ROUNDUP(AN111*(AL111+E111)+AM111*(AN111*Parametros!$B$3)*SQRT((AL111+E111)),0)))</f>
        <v/>
      </c>
      <c r="AQ111">
        <f>IF(Datos!A111="","",IF(Datos!J111="","",Datos!J111))</f>
        <v/>
      </c>
      <c r="AR111">
        <f>IF(OR(Datos!A111="",AQ111=""),"",MAX(0,AQ111-AP111))</f>
        <v/>
      </c>
      <c r="AS111" s="10">
        <f>IF(OR(Datos!A111="",AQ111=""),"",AR111*C111)</f>
        <v/>
      </c>
      <c r="AT111" s="12">
        <f>IF(OR(Datos!A111="",AQ111=""),"",IF(AQ111&lt;AO111,"SI",""))</f>
        <v/>
      </c>
      <c r="AU111">
        <f>IF(Datos!A111="","",IF(AT111="SI","Reponer ahora",IF(AND(AQ111&lt;&gt;"",AR111&gt;0),"Bajar "&amp;TEXT(AR111,"#,##0")&amp;" un.","En rango")))</f>
        <v/>
      </c>
    </row>
    <row r="112">
      <c r="A112">
        <f>IF(Datos!A112="","",Datos!A112)</f>
        <v/>
      </c>
      <c r="B112">
        <f>IF(Datos!A112="","",Datos!B112)</f>
        <v/>
      </c>
      <c r="C112">
        <f>IF(Datos!A112="","",IFERROR(MAX(0,N(Datos!D112)),0))</f>
        <v/>
      </c>
      <c r="D112">
        <f>IF(Datos!A112="","",IFERROR(MAX(0,N(Datos!E112)),0))</f>
        <v/>
      </c>
      <c r="E112">
        <f>IF(Datos!A112="","",IFERROR(MAX(0,N(Datos!F112)),0))</f>
        <v/>
      </c>
      <c r="F112">
        <f>IF(Datos!A112="","",IFERROR(MAX(0,N(Datos!G112)),0))</f>
        <v/>
      </c>
      <c r="G112">
        <f>IF(Datos!A112="","",IFERROR(MAX(0,N(Datos!H112)),0))</f>
        <v/>
      </c>
      <c r="H112">
        <f>IF(Datos!A112="","",IFERROR(MAX(0,N(Datos!I112)),0))</f>
        <v/>
      </c>
      <c r="J112">
        <f>IF(Datos!A112="","",IF(MAX(C$2:C$301)-MIN(C$2:C$301)&lt;0.000000001,0.5,(C112-MIN(C$2:C$301))/(MAX(C$2:C$301)-MIN(C$2:C$301)))+0.000000001)</f>
        <v/>
      </c>
      <c r="K112">
        <f>IF(Datos!A112="","",IF(MAX(D$2:D$301)-MIN(D$2:D$301)&lt;0.000000001,0.5,(D112-MIN(D$2:D$301))/(MAX(D$2:D$301)-MIN(D$2:D$301)))+0.000000001)</f>
        <v/>
      </c>
      <c r="L112">
        <f>IF(Datos!A112="","",IF(MAX(E$2:E$301)-MIN(E$2:E$301)&lt;0.000000001,0.5,(E112-MIN(E$2:E$301))/(MAX(E$2:E$301)-MIN(E$2:E$301)))+0.000000001)</f>
        <v/>
      </c>
      <c r="M112">
        <f>IF(Datos!A112="","",IF(MAX(F$2:F$301)-MIN(F$2:F$301)&lt;0.000000001,0.5,(F112-MIN(F$2:F$301))/(MAX(F$2:F$301)-MIN(F$2:F$301)))+0.000000001)</f>
        <v/>
      </c>
      <c r="N112">
        <f>IF(Datos!A112="","",IF(MAX(G$2:G$301)-MIN(G$2:G$301)&lt;0.000000001,0.5,(G112-MIN(G$2:G$301))/(MAX(G$2:G$301)-MIN(G$2:G$301)))+0.000000001)</f>
        <v/>
      </c>
      <c r="O112">
        <f>IF(Datos!A112="","",IF(MAX(H$2:H$301)-MIN(H$2:H$301)&lt;0.000000001,0.5,(H112-MIN(H$2:H$301))/(MAX(H$2:H$301)-MIN(H$2:H$301)))+0.000000001)</f>
        <v/>
      </c>
      <c r="Q112">
        <f>IF(Datos!A112="","",(J112/SUM(J$2:J$301))*LN(J112/SUM(J$2:J$301)))</f>
        <v/>
      </c>
      <c r="R112">
        <f>IF(Datos!A112="","",(K112/SUM(K$2:K$301))*LN(K112/SUM(K$2:K$301)))</f>
        <v/>
      </c>
      <c r="S112">
        <f>IF(Datos!A112="","",(L112/SUM(L$2:L$301))*LN(L112/SUM(L$2:L$301)))</f>
        <v/>
      </c>
      <c r="T112">
        <f>IF(Datos!A112="","",(M112/SUM(M$2:M$301))*LN(M112/SUM(M$2:M$301)))</f>
        <v/>
      </c>
      <c r="U112">
        <f>IF(Datos!A112="","",(N112/SUM(N$2:N$301))*LN(N112/SUM(N$2:N$301)))</f>
        <v/>
      </c>
      <c r="V112">
        <f>IF(Datos!A112="","",(O112/SUM(O$2:O$301))*LN(O112/SUM(O$2:O$301)))</f>
        <v/>
      </c>
      <c r="X112">
        <f>IF(Datos!A112="","",IF(SUMSQ(C$2:C$301)=0,0,C112/SQRT(SUMSQ(C$2:C$301)))*$BE$2)</f>
        <v/>
      </c>
      <c r="Y112">
        <f>IF(Datos!A112="","",IF(SUMSQ(D$2:D$301)=0,0,D112/SQRT(SUMSQ(D$2:D$301)))*$BE$3)</f>
        <v/>
      </c>
      <c r="Z112">
        <f>IF(Datos!A112="","",IF(SUMSQ(E$2:E$301)=0,0,E112/SQRT(SUMSQ(E$2:E$301)))*$BE$4)</f>
        <v/>
      </c>
      <c r="AA112">
        <f>IF(Datos!A112="","",IF(SUMSQ(F$2:F$301)=0,0,F112/SQRT(SUMSQ(F$2:F$301)))*$BE$5)</f>
        <v/>
      </c>
      <c r="AB112">
        <f>IF(Datos!A112="","",IF(SUMSQ(G$2:G$301)=0,0,G112/SQRT(SUMSQ(G$2:G$301)))*$BE$6)</f>
        <v/>
      </c>
      <c r="AC112">
        <f>IF(Datos!A112="","",IF(SUMSQ(H$2:H$301)=0,0,H112/SQRT(SUMSQ(H$2:H$301)))*$BE$7)</f>
        <v/>
      </c>
      <c r="AE112">
        <f>IF(Datos!A112="","",SQRT(SUMXMY2(X112:AC112,$X$303:$AC$303)))</f>
        <v/>
      </c>
      <c r="AF112">
        <f>IF(Datos!A112="","",SQRT(SUMXMY2(X112:AC112,$X$304:$AC$304)))</f>
        <v/>
      </c>
      <c r="AG112" s="11">
        <f>IF(Datos!A112="","",IF(AE112+AF112&lt;0.000000001,0.5,AF112/(AE112+AF112)))</f>
        <v/>
      </c>
      <c r="AH112">
        <f>IF(Datos!A112="","",AG112*MAX(C112*D112,1))</f>
        <v/>
      </c>
      <c r="AI112">
        <f>IF(Datos!A112="","",SUMIF($AH$2:$AH$301,"&gt;="&amp;AH112,$AH$2:$AH$301)/SUM($AH$2:$AH$301))</f>
        <v/>
      </c>
      <c r="AJ112" s="12">
        <f>IF(Datos!A112="","",IF(AI112&lt;=Parametros!$B$13,"A",IF(AI112&lt;=Parametros!$B$14,"B","C")))</f>
        <v/>
      </c>
      <c r="AK112" s="13">
        <f>IF(Datos!A112="","",VLOOKUP(AJ112,Parametros!$A$8:$C$10,2,FALSE))</f>
        <v/>
      </c>
      <c r="AL112">
        <f>IF(Datos!A112="","",VLOOKUP(AJ112,Parametros!$A$8:$C$10,3,FALSE))</f>
        <v/>
      </c>
      <c r="AM112">
        <f>IF(Datos!A112="","",NORMSINV(AK112))</f>
        <v/>
      </c>
      <c r="AN112">
        <f>IF(Datos!A112="","",D112/Parametros!$B$4)</f>
        <v/>
      </c>
      <c r="AO112">
        <f>IF(Datos!A112="","",MAX(0,ROUNDUP(AM112*(AN112*Parametros!$B$3)*SQRT((AL112+E112)),0)))</f>
        <v/>
      </c>
      <c r="AP112">
        <f>IF(Datos!A112="","",MAX(1,ROUNDUP(AN112*(AL112+E112)+AM112*(AN112*Parametros!$B$3)*SQRT((AL112+E112)),0)))</f>
        <v/>
      </c>
      <c r="AQ112">
        <f>IF(Datos!A112="","",IF(Datos!J112="","",Datos!J112))</f>
        <v/>
      </c>
      <c r="AR112">
        <f>IF(OR(Datos!A112="",AQ112=""),"",MAX(0,AQ112-AP112))</f>
        <v/>
      </c>
      <c r="AS112" s="10">
        <f>IF(OR(Datos!A112="",AQ112=""),"",AR112*C112)</f>
        <v/>
      </c>
      <c r="AT112" s="12">
        <f>IF(OR(Datos!A112="",AQ112=""),"",IF(AQ112&lt;AO112,"SI",""))</f>
        <v/>
      </c>
      <c r="AU112">
        <f>IF(Datos!A112="","",IF(AT112="SI","Reponer ahora",IF(AND(AQ112&lt;&gt;"",AR112&gt;0),"Bajar "&amp;TEXT(AR112,"#,##0")&amp;" un.","En rango")))</f>
        <v/>
      </c>
    </row>
    <row r="113">
      <c r="A113">
        <f>IF(Datos!A113="","",Datos!A113)</f>
        <v/>
      </c>
      <c r="B113">
        <f>IF(Datos!A113="","",Datos!B113)</f>
        <v/>
      </c>
      <c r="C113">
        <f>IF(Datos!A113="","",IFERROR(MAX(0,N(Datos!D113)),0))</f>
        <v/>
      </c>
      <c r="D113">
        <f>IF(Datos!A113="","",IFERROR(MAX(0,N(Datos!E113)),0))</f>
        <v/>
      </c>
      <c r="E113">
        <f>IF(Datos!A113="","",IFERROR(MAX(0,N(Datos!F113)),0))</f>
        <v/>
      </c>
      <c r="F113">
        <f>IF(Datos!A113="","",IFERROR(MAX(0,N(Datos!G113)),0))</f>
        <v/>
      </c>
      <c r="G113">
        <f>IF(Datos!A113="","",IFERROR(MAX(0,N(Datos!H113)),0))</f>
        <v/>
      </c>
      <c r="H113">
        <f>IF(Datos!A113="","",IFERROR(MAX(0,N(Datos!I113)),0))</f>
        <v/>
      </c>
      <c r="J113">
        <f>IF(Datos!A113="","",IF(MAX(C$2:C$301)-MIN(C$2:C$301)&lt;0.000000001,0.5,(C113-MIN(C$2:C$301))/(MAX(C$2:C$301)-MIN(C$2:C$301)))+0.000000001)</f>
        <v/>
      </c>
      <c r="K113">
        <f>IF(Datos!A113="","",IF(MAX(D$2:D$301)-MIN(D$2:D$301)&lt;0.000000001,0.5,(D113-MIN(D$2:D$301))/(MAX(D$2:D$301)-MIN(D$2:D$301)))+0.000000001)</f>
        <v/>
      </c>
      <c r="L113">
        <f>IF(Datos!A113="","",IF(MAX(E$2:E$301)-MIN(E$2:E$301)&lt;0.000000001,0.5,(E113-MIN(E$2:E$301))/(MAX(E$2:E$301)-MIN(E$2:E$301)))+0.000000001)</f>
        <v/>
      </c>
      <c r="M113">
        <f>IF(Datos!A113="","",IF(MAX(F$2:F$301)-MIN(F$2:F$301)&lt;0.000000001,0.5,(F113-MIN(F$2:F$301))/(MAX(F$2:F$301)-MIN(F$2:F$301)))+0.000000001)</f>
        <v/>
      </c>
      <c r="N113">
        <f>IF(Datos!A113="","",IF(MAX(G$2:G$301)-MIN(G$2:G$301)&lt;0.000000001,0.5,(G113-MIN(G$2:G$301))/(MAX(G$2:G$301)-MIN(G$2:G$301)))+0.000000001)</f>
        <v/>
      </c>
      <c r="O113">
        <f>IF(Datos!A113="","",IF(MAX(H$2:H$301)-MIN(H$2:H$301)&lt;0.000000001,0.5,(H113-MIN(H$2:H$301))/(MAX(H$2:H$301)-MIN(H$2:H$301)))+0.000000001)</f>
        <v/>
      </c>
      <c r="Q113">
        <f>IF(Datos!A113="","",(J113/SUM(J$2:J$301))*LN(J113/SUM(J$2:J$301)))</f>
        <v/>
      </c>
      <c r="R113">
        <f>IF(Datos!A113="","",(K113/SUM(K$2:K$301))*LN(K113/SUM(K$2:K$301)))</f>
        <v/>
      </c>
      <c r="S113">
        <f>IF(Datos!A113="","",(L113/SUM(L$2:L$301))*LN(L113/SUM(L$2:L$301)))</f>
        <v/>
      </c>
      <c r="T113">
        <f>IF(Datos!A113="","",(M113/SUM(M$2:M$301))*LN(M113/SUM(M$2:M$301)))</f>
        <v/>
      </c>
      <c r="U113">
        <f>IF(Datos!A113="","",(N113/SUM(N$2:N$301))*LN(N113/SUM(N$2:N$301)))</f>
        <v/>
      </c>
      <c r="V113">
        <f>IF(Datos!A113="","",(O113/SUM(O$2:O$301))*LN(O113/SUM(O$2:O$301)))</f>
        <v/>
      </c>
      <c r="X113">
        <f>IF(Datos!A113="","",IF(SUMSQ(C$2:C$301)=0,0,C113/SQRT(SUMSQ(C$2:C$301)))*$BE$2)</f>
        <v/>
      </c>
      <c r="Y113">
        <f>IF(Datos!A113="","",IF(SUMSQ(D$2:D$301)=0,0,D113/SQRT(SUMSQ(D$2:D$301)))*$BE$3)</f>
        <v/>
      </c>
      <c r="Z113">
        <f>IF(Datos!A113="","",IF(SUMSQ(E$2:E$301)=0,0,E113/SQRT(SUMSQ(E$2:E$301)))*$BE$4)</f>
        <v/>
      </c>
      <c r="AA113">
        <f>IF(Datos!A113="","",IF(SUMSQ(F$2:F$301)=0,0,F113/SQRT(SUMSQ(F$2:F$301)))*$BE$5)</f>
        <v/>
      </c>
      <c r="AB113">
        <f>IF(Datos!A113="","",IF(SUMSQ(G$2:G$301)=0,0,G113/SQRT(SUMSQ(G$2:G$301)))*$BE$6)</f>
        <v/>
      </c>
      <c r="AC113">
        <f>IF(Datos!A113="","",IF(SUMSQ(H$2:H$301)=0,0,H113/SQRT(SUMSQ(H$2:H$301)))*$BE$7)</f>
        <v/>
      </c>
      <c r="AE113">
        <f>IF(Datos!A113="","",SQRT(SUMXMY2(X113:AC113,$X$303:$AC$303)))</f>
        <v/>
      </c>
      <c r="AF113">
        <f>IF(Datos!A113="","",SQRT(SUMXMY2(X113:AC113,$X$304:$AC$304)))</f>
        <v/>
      </c>
      <c r="AG113" s="11">
        <f>IF(Datos!A113="","",IF(AE113+AF113&lt;0.000000001,0.5,AF113/(AE113+AF113)))</f>
        <v/>
      </c>
      <c r="AH113">
        <f>IF(Datos!A113="","",AG113*MAX(C113*D113,1))</f>
        <v/>
      </c>
      <c r="AI113">
        <f>IF(Datos!A113="","",SUMIF($AH$2:$AH$301,"&gt;="&amp;AH113,$AH$2:$AH$301)/SUM($AH$2:$AH$301))</f>
        <v/>
      </c>
      <c r="AJ113" s="12">
        <f>IF(Datos!A113="","",IF(AI113&lt;=Parametros!$B$13,"A",IF(AI113&lt;=Parametros!$B$14,"B","C")))</f>
        <v/>
      </c>
      <c r="AK113" s="13">
        <f>IF(Datos!A113="","",VLOOKUP(AJ113,Parametros!$A$8:$C$10,2,FALSE))</f>
        <v/>
      </c>
      <c r="AL113">
        <f>IF(Datos!A113="","",VLOOKUP(AJ113,Parametros!$A$8:$C$10,3,FALSE))</f>
        <v/>
      </c>
      <c r="AM113">
        <f>IF(Datos!A113="","",NORMSINV(AK113))</f>
        <v/>
      </c>
      <c r="AN113">
        <f>IF(Datos!A113="","",D113/Parametros!$B$4)</f>
        <v/>
      </c>
      <c r="AO113">
        <f>IF(Datos!A113="","",MAX(0,ROUNDUP(AM113*(AN113*Parametros!$B$3)*SQRT((AL113+E113)),0)))</f>
        <v/>
      </c>
      <c r="AP113">
        <f>IF(Datos!A113="","",MAX(1,ROUNDUP(AN113*(AL113+E113)+AM113*(AN113*Parametros!$B$3)*SQRT((AL113+E113)),0)))</f>
        <v/>
      </c>
      <c r="AQ113">
        <f>IF(Datos!A113="","",IF(Datos!J113="","",Datos!J113))</f>
        <v/>
      </c>
      <c r="AR113">
        <f>IF(OR(Datos!A113="",AQ113=""),"",MAX(0,AQ113-AP113))</f>
        <v/>
      </c>
      <c r="AS113" s="10">
        <f>IF(OR(Datos!A113="",AQ113=""),"",AR113*C113)</f>
        <v/>
      </c>
      <c r="AT113" s="12">
        <f>IF(OR(Datos!A113="",AQ113=""),"",IF(AQ113&lt;AO113,"SI",""))</f>
        <v/>
      </c>
      <c r="AU113">
        <f>IF(Datos!A113="","",IF(AT113="SI","Reponer ahora",IF(AND(AQ113&lt;&gt;"",AR113&gt;0),"Bajar "&amp;TEXT(AR113,"#,##0")&amp;" un.","En rango")))</f>
        <v/>
      </c>
    </row>
    <row r="114">
      <c r="A114">
        <f>IF(Datos!A114="","",Datos!A114)</f>
        <v/>
      </c>
      <c r="B114">
        <f>IF(Datos!A114="","",Datos!B114)</f>
        <v/>
      </c>
      <c r="C114">
        <f>IF(Datos!A114="","",IFERROR(MAX(0,N(Datos!D114)),0))</f>
        <v/>
      </c>
      <c r="D114">
        <f>IF(Datos!A114="","",IFERROR(MAX(0,N(Datos!E114)),0))</f>
        <v/>
      </c>
      <c r="E114">
        <f>IF(Datos!A114="","",IFERROR(MAX(0,N(Datos!F114)),0))</f>
        <v/>
      </c>
      <c r="F114">
        <f>IF(Datos!A114="","",IFERROR(MAX(0,N(Datos!G114)),0))</f>
        <v/>
      </c>
      <c r="G114">
        <f>IF(Datos!A114="","",IFERROR(MAX(0,N(Datos!H114)),0))</f>
        <v/>
      </c>
      <c r="H114">
        <f>IF(Datos!A114="","",IFERROR(MAX(0,N(Datos!I114)),0))</f>
        <v/>
      </c>
      <c r="J114">
        <f>IF(Datos!A114="","",IF(MAX(C$2:C$301)-MIN(C$2:C$301)&lt;0.000000001,0.5,(C114-MIN(C$2:C$301))/(MAX(C$2:C$301)-MIN(C$2:C$301)))+0.000000001)</f>
        <v/>
      </c>
      <c r="K114">
        <f>IF(Datos!A114="","",IF(MAX(D$2:D$301)-MIN(D$2:D$301)&lt;0.000000001,0.5,(D114-MIN(D$2:D$301))/(MAX(D$2:D$301)-MIN(D$2:D$301)))+0.000000001)</f>
        <v/>
      </c>
      <c r="L114">
        <f>IF(Datos!A114="","",IF(MAX(E$2:E$301)-MIN(E$2:E$301)&lt;0.000000001,0.5,(E114-MIN(E$2:E$301))/(MAX(E$2:E$301)-MIN(E$2:E$301)))+0.000000001)</f>
        <v/>
      </c>
      <c r="M114">
        <f>IF(Datos!A114="","",IF(MAX(F$2:F$301)-MIN(F$2:F$301)&lt;0.000000001,0.5,(F114-MIN(F$2:F$301))/(MAX(F$2:F$301)-MIN(F$2:F$301)))+0.000000001)</f>
        <v/>
      </c>
      <c r="N114">
        <f>IF(Datos!A114="","",IF(MAX(G$2:G$301)-MIN(G$2:G$301)&lt;0.000000001,0.5,(G114-MIN(G$2:G$301))/(MAX(G$2:G$301)-MIN(G$2:G$301)))+0.000000001)</f>
        <v/>
      </c>
      <c r="O114">
        <f>IF(Datos!A114="","",IF(MAX(H$2:H$301)-MIN(H$2:H$301)&lt;0.000000001,0.5,(H114-MIN(H$2:H$301))/(MAX(H$2:H$301)-MIN(H$2:H$301)))+0.000000001)</f>
        <v/>
      </c>
      <c r="Q114">
        <f>IF(Datos!A114="","",(J114/SUM(J$2:J$301))*LN(J114/SUM(J$2:J$301)))</f>
        <v/>
      </c>
      <c r="R114">
        <f>IF(Datos!A114="","",(K114/SUM(K$2:K$301))*LN(K114/SUM(K$2:K$301)))</f>
        <v/>
      </c>
      <c r="S114">
        <f>IF(Datos!A114="","",(L114/SUM(L$2:L$301))*LN(L114/SUM(L$2:L$301)))</f>
        <v/>
      </c>
      <c r="T114">
        <f>IF(Datos!A114="","",(M114/SUM(M$2:M$301))*LN(M114/SUM(M$2:M$301)))</f>
        <v/>
      </c>
      <c r="U114">
        <f>IF(Datos!A114="","",(N114/SUM(N$2:N$301))*LN(N114/SUM(N$2:N$301)))</f>
        <v/>
      </c>
      <c r="V114">
        <f>IF(Datos!A114="","",(O114/SUM(O$2:O$301))*LN(O114/SUM(O$2:O$301)))</f>
        <v/>
      </c>
      <c r="X114">
        <f>IF(Datos!A114="","",IF(SUMSQ(C$2:C$301)=0,0,C114/SQRT(SUMSQ(C$2:C$301)))*$BE$2)</f>
        <v/>
      </c>
      <c r="Y114">
        <f>IF(Datos!A114="","",IF(SUMSQ(D$2:D$301)=0,0,D114/SQRT(SUMSQ(D$2:D$301)))*$BE$3)</f>
        <v/>
      </c>
      <c r="Z114">
        <f>IF(Datos!A114="","",IF(SUMSQ(E$2:E$301)=0,0,E114/SQRT(SUMSQ(E$2:E$301)))*$BE$4)</f>
        <v/>
      </c>
      <c r="AA114">
        <f>IF(Datos!A114="","",IF(SUMSQ(F$2:F$301)=0,0,F114/SQRT(SUMSQ(F$2:F$301)))*$BE$5)</f>
        <v/>
      </c>
      <c r="AB114">
        <f>IF(Datos!A114="","",IF(SUMSQ(G$2:G$301)=0,0,G114/SQRT(SUMSQ(G$2:G$301)))*$BE$6)</f>
        <v/>
      </c>
      <c r="AC114">
        <f>IF(Datos!A114="","",IF(SUMSQ(H$2:H$301)=0,0,H114/SQRT(SUMSQ(H$2:H$301)))*$BE$7)</f>
        <v/>
      </c>
      <c r="AE114">
        <f>IF(Datos!A114="","",SQRT(SUMXMY2(X114:AC114,$X$303:$AC$303)))</f>
        <v/>
      </c>
      <c r="AF114">
        <f>IF(Datos!A114="","",SQRT(SUMXMY2(X114:AC114,$X$304:$AC$304)))</f>
        <v/>
      </c>
      <c r="AG114" s="11">
        <f>IF(Datos!A114="","",IF(AE114+AF114&lt;0.000000001,0.5,AF114/(AE114+AF114)))</f>
        <v/>
      </c>
      <c r="AH114">
        <f>IF(Datos!A114="","",AG114*MAX(C114*D114,1))</f>
        <v/>
      </c>
      <c r="AI114">
        <f>IF(Datos!A114="","",SUMIF($AH$2:$AH$301,"&gt;="&amp;AH114,$AH$2:$AH$301)/SUM($AH$2:$AH$301))</f>
        <v/>
      </c>
      <c r="AJ114" s="12">
        <f>IF(Datos!A114="","",IF(AI114&lt;=Parametros!$B$13,"A",IF(AI114&lt;=Parametros!$B$14,"B","C")))</f>
        <v/>
      </c>
      <c r="AK114" s="13">
        <f>IF(Datos!A114="","",VLOOKUP(AJ114,Parametros!$A$8:$C$10,2,FALSE))</f>
        <v/>
      </c>
      <c r="AL114">
        <f>IF(Datos!A114="","",VLOOKUP(AJ114,Parametros!$A$8:$C$10,3,FALSE))</f>
        <v/>
      </c>
      <c r="AM114">
        <f>IF(Datos!A114="","",NORMSINV(AK114))</f>
        <v/>
      </c>
      <c r="AN114">
        <f>IF(Datos!A114="","",D114/Parametros!$B$4)</f>
        <v/>
      </c>
      <c r="AO114">
        <f>IF(Datos!A114="","",MAX(0,ROUNDUP(AM114*(AN114*Parametros!$B$3)*SQRT((AL114+E114)),0)))</f>
        <v/>
      </c>
      <c r="AP114">
        <f>IF(Datos!A114="","",MAX(1,ROUNDUP(AN114*(AL114+E114)+AM114*(AN114*Parametros!$B$3)*SQRT((AL114+E114)),0)))</f>
        <v/>
      </c>
      <c r="AQ114">
        <f>IF(Datos!A114="","",IF(Datos!J114="","",Datos!J114))</f>
        <v/>
      </c>
      <c r="AR114">
        <f>IF(OR(Datos!A114="",AQ114=""),"",MAX(0,AQ114-AP114))</f>
        <v/>
      </c>
      <c r="AS114" s="10">
        <f>IF(OR(Datos!A114="",AQ114=""),"",AR114*C114)</f>
        <v/>
      </c>
      <c r="AT114" s="12">
        <f>IF(OR(Datos!A114="",AQ114=""),"",IF(AQ114&lt;AO114,"SI",""))</f>
        <v/>
      </c>
      <c r="AU114">
        <f>IF(Datos!A114="","",IF(AT114="SI","Reponer ahora",IF(AND(AQ114&lt;&gt;"",AR114&gt;0),"Bajar "&amp;TEXT(AR114,"#,##0")&amp;" un.","En rango")))</f>
        <v/>
      </c>
    </row>
    <row r="115">
      <c r="A115">
        <f>IF(Datos!A115="","",Datos!A115)</f>
        <v/>
      </c>
      <c r="B115">
        <f>IF(Datos!A115="","",Datos!B115)</f>
        <v/>
      </c>
      <c r="C115">
        <f>IF(Datos!A115="","",IFERROR(MAX(0,N(Datos!D115)),0))</f>
        <v/>
      </c>
      <c r="D115">
        <f>IF(Datos!A115="","",IFERROR(MAX(0,N(Datos!E115)),0))</f>
        <v/>
      </c>
      <c r="E115">
        <f>IF(Datos!A115="","",IFERROR(MAX(0,N(Datos!F115)),0))</f>
        <v/>
      </c>
      <c r="F115">
        <f>IF(Datos!A115="","",IFERROR(MAX(0,N(Datos!G115)),0))</f>
        <v/>
      </c>
      <c r="G115">
        <f>IF(Datos!A115="","",IFERROR(MAX(0,N(Datos!H115)),0))</f>
        <v/>
      </c>
      <c r="H115">
        <f>IF(Datos!A115="","",IFERROR(MAX(0,N(Datos!I115)),0))</f>
        <v/>
      </c>
      <c r="J115">
        <f>IF(Datos!A115="","",IF(MAX(C$2:C$301)-MIN(C$2:C$301)&lt;0.000000001,0.5,(C115-MIN(C$2:C$301))/(MAX(C$2:C$301)-MIN(C$2:C$301)))+0.000000001)</f>
        <v/>
      </c>
      <c r="K115">
        <f>IF(Datos!A115="","",IF(MAX(D$2:D$301)-MIN(D$2:D$301)&lt;0.000000001,0.5,(D115-MIN(D$2:D$301))/(MAX(D$2:D$301)-MIN(D$2:D$301)))+0.000000001)</f>
        <v/>
      </c>
      <c r="L115">
        <f>IF(Datos!A115="","",IF(MAX(E$2:E$301)-MIN(E$2:E$301)&lt;0.000000001,0.5,(E115-MIN(E$2:E$301))/(MAX(E$2:E$301)-MIN(E$2:E$301)))+0.000000001)</f>
        <v/>
      </c>
      <c r="M115">
        <f>IF(Datos!A115="","",IF(MAX(F$2:F$301)-MIN(F$2:F$301)&lt;0.000000001,0.5,(F115-MIN(F$2:F$301))/(MAX(F$2:F$301)-MIN(F$2:F$301)))+0.000000001)</f>
        <v/>
      </c>
      <c r="N115">
        <f>IF(Datos!A115="","",IF(MAX(G$2:G$301)-MIN(G$2:G$301)&lt;0.000000001,0.5,(G115-MIN(G$2:G$301))/(MAX(G$2:G$301)-MIN(G$2:G$301)))+0.000000001)</f>
        <v/>
      </c>
      <c r="O115">
        <f>IF(Datos!A115="","",IF(MAX(H$2:H$301)-MIN(H$2:H$301)&lt;0.000000001,0.5,(H115-MIN(H$2:H$301))/(MAX(H$2:H$301)-MIN(H$2:H$301)))+0.000000001)</f>
        <v/>
      </c>
      <c r="Q115">
        <f>IF(Datos!A115="","",(J115/SUM(J$2:J$301))*LN(J115/SUM(J$2:J$301)))</f>
        <v/>
      </c>
      <c r="R115">
        <f>IF(Datos!A115="","",(K115/SUM(K$2:K$301))*LN(K115/SUM(K$2:K$301)))</f>
        <v/>
      </c>
      <c r="S115">
        <f>IF(Datos!A115="","",(L115/SUM(L$2:L$301))*LN(L115/SUM(L$2:L$301)))</f>
        <v/>
      </c>
      <c r="T115">
        <f>IF(Datos!A115="","",(M115/SUM(M$2:M$301))*LN(M115/SUM(M$2:M$301)))</f>
        <v/>
      </c>
      <c r="U115">
        <f>IF(Datos!A115="","",(N115/SUM(N$2:N$301))*LN(N115/SUM(N$2:N$301)))</f>
        <v/>
      </c>
      <c r="V115">
        <f>IF(Datos!A115="","",(O115/SUM(O$2:O$301))*LN(O115/SUM(O$2:O$301)))</f>
        <v/>
      </c>
      <c r="X115">
        <f>IF(Datos!A115="","",IF(SUMSQ(C$2:C$301)=0,0,C115/SQRT(SUMSQ(C$2:C$301)))*$BE$2)</f>
        <v/>
      </c>
      <c r="Y115">
        <f>IF(Datos!A115="","",IF(SUMSQ(D$2:D$301)=0,0,D115/SQRT(SUMSQ(D$2:D$301)))*$BE$3)</f>
        <v/>
      </c>
      <c r="Z115">
        <f>IF(Datos!A115="","",IF(SUMSQ(E$2:E$301)=0,0,E115/SQRT(SUMSQ(E$2:E$301)))*$BE$4)</f>
        <v/>
      </c>
      <c r="AA115">
        <f>IF(Datos!A115="","",IF(SUMSQ(F$2:F$301)=0,0,F115/SQRT(SUMSQ(F$2:F$301)))*$BE$5)</f>
        <v/>
      </c>
      <c r="AB115">
        <f>IF(Datos!A115="","",IF(SUMSQ(G$2:G$301)=0,0,G115/SQRT(SUMSQ(G$2:G$301)))*$BE$6)</f>
        <v/>
      </c>
      <c r="AC115">
        <f>IF(Datos!A115="","",IF(SUMSQ(H$2:H$301)=0,0,H115/SQRT(SUMSQ(H$2:H$301)))*$BE$7)</f>
        <v/>
      </c>
      <c r="AE115">
        <f>IF(Datos!A115="","",SQRT(SUMXMY2(X115:AC115,$X$303:$AC$303)))</f>
        <v/>
      </c>
      <c r="AF115">
        <f>IF(Datos!A115="","",SQRT(SUMXMY2(X115:AC115,$X$304:$AC$304)))</f>
        <v/>
      </c>
      <c r="AG115" s="11">
        <f>IF(Datos!A115="","",IF(AE115+AF115&lt;0.000000001,0.5,AF115/(AE115+AF115)))</f>
        <v/>
      </c>
      <c r="AH115">
        <f>IF(Datos!A115="","",AG115*MAX(C115*D115,1))</f>
        <v/>
      </c>
      <c r="AI115">
        <f>IF(Datos!A115="","",SUMIF($AH$2:$AH$301,"&gt;="&amp;AH115,$AH$2:$AH$301)/SUM($AH$2:$AH$301))</f>
        <v/>
      </c>
      <c r="AJ115" s="12">
        <f>IF(Datos!A115="","",IF(AI115&lt;=Parametros!$B$13,"A",IF(AI115&lt;=Parametros!$B$14,"B","C")))</f>
        <v/>
      </c>
      <c r="AK115" s="13">
        <f>IF(Datos!A115="","",VLOOKUP(AJ115,Parametros!$A$8:$C$10,2,FALSE))</f>
        <v/>
      </c>
      <c r="AL115">
        <f>IF(Datos!A115="","",VLOOKUP(AJ115,Parametros!$A$8:$C$10,3,FALSE))</f>
        <v/>
      </c>
      <c r="AM115">
        <f>IF(Datos!A115="","",NORMSINV(AK115))</f>
        <v/>
      </c>
      <c r="AN115">
        <f>IF(Datos!A115="","",D115/Parametros!$B$4)</f>
        <v/>
      </c>
      <c r="AO115">
        <f>IF(Datos!A115="","",MAX(0,ROUNDUP(AM115*(AN115*Parametros!$B$3)*SQRT((AL115+E115)),0)))</f>
        <v/>
      </c>
      <c r="AP115">
        <f>IF(Datos!A115="","",MAX(1,ROUNDUP(AN115*(AL115+E115)+AM115*(AN115*Parametros!$B$3)*SQRT((AL115+E115)),0)))</f>
        <v/>
      </c>
      <c r="AQ115">
        <f>IF(Datos!A115="","",IF(Datos!J115="","",Datos!J115))</f>
        <v/>
      </c>
      <c r="AR115">
        <f>IF(OR(Datos!A115="",AQ115=""),"",MAX(0,AQ115-AP115))</f>
        <v/>
      </c>
      <c r="AS115" s="10">
        <f>IF(OR(Datos!A115="",AQ115=""),"",AR115*C115)</f>
        <v/>
      </c>
      <c r="AT115" s="12">
        <f>IF(OR(Datos!A115="",AQ115=""),"",IF(AQ115&lt;AO115,"SI",""))</f>
        <v/>
      </c>
      <c r="AU115">
        <f>IF(Datos!A115="","",IF(AT115="SI","Reponer ahora",IF(AND(AQ115&lt;&gt;"",AR115&gt;0),"Bajar "&amp;TEXT(AR115,"#,##0")&amp;" un.","En rango")))</f>
        <v/>
      </c>
    </row>
    <row r="116">
      <c r="A116">
        <f>IF(Datos!A116="","",Datos!A116)</f>
        <v/>
      </c>
      <c r="B116">
        <f>IF(Datos!A116="","",Datos!B116)</f>
        <v/>
      </c>
      <c r="C116">
        <f>IF(Datos!A116="","",IFERROR(MAX(0,N(Datos!D116)),0))</f>
        <v/>
      </c>
      <c r="D116">
        <f>IF(Datos!A116="","",IFERROR(MAX(0,N(Datos!E116)),0))</f>
        <v/>
      </c>
      <c r="E116">
        <f>IF(Datos!A116="","",IFERROR(MAX(0,N(Datos!F116)),0))</f>
        <v/>
      </c>
      <c r="F116">
        <f>IF(Datos!A116="","",IFERROR(MAX(0,N(Datos!G116)),0))</f>
        <v/>
      </c>
      <c r="G116">
        <f>IF(Datos!A116="","",IFERROR(MAX(0,N(Datos!H116)),0))</f>
        <v/>
      </c>
      <c r="H116">
        <f>IF(Datos!A116="","",IFERROR(MAX(0,N(Datos!I116)),0))</f>
        <v/>
      </c>
      <c r="J116">
        <f>IF(Datos!A116="","",IF(MAX(C$2:C$301)-MIN(C$2:C$301)&lt;0.000000001,0.5,(C116-MIN(C$2:C$301))/(MAX(C$2:C$301)-MIN(C$2:C$301)))+0.000000001)</f>
        <v/>
      </c>
      <c r="K116">
        <f>IF(Datos!A116="","",IF(MAX(D$2:D$301)-MIN(D$2:D$301)&lt;0.000000001,0.5,(D116-MIN(D$2:D$301))/(MAX(D$2:D$301)-MIN(D$2:D$301)))+0.000000001)</f>
        <v/>
      </c>
      <c r="L116">
        <f>IF(Datos!A116="","",IF(MAX(E$2:E$301)-MIN(E$2:E$301)&lt;0.000000001,0.5,(E116-MIN(E$2:E$301))/(MAX(E$2:E$301)-MIN(E$2:E$301)))+0.000000001)</f>
        <v/>
      </c>
      <c r="M116">
        <f>IF(Datos!A116="","",IF(MAX(F$2:F$301)-MIN(F$2:F$301)&lt;0.000000001,0.5,(F116-MIN(F$2:F$301))/(MAX(F$2:F$301)-MIN(F$2:F$301)))+0.000000001)</f>
        <v/>
      </c>
      <c r="N116">
        <f>IF(Datos!A116="","",IF(MAX(G$2:G$301)-MIN(G$2:G$301)&lt;0.000000001,0.5,(G116-MIN(G$2:G$301))/(MAX(G$2:G$301)-MIN(G$2:G$301)))+0.000000001)</f>
        <v/>
      </c>
      <c r="O116">
        <f>IF(Datos!A116="","",IF(MAX(H$2:H$301)-MIN(H$2:H$301)&lt;0.000000001,0.5,(H116-MIN(H$2:H$301))/(MAX(H$2:H$301)-MIN(H$2:H$301)))+0.000000001)</f>
        <v/>
      </c>
      <c r="Q116">
        <f>IF(Datos!A116="","",(J116/SUM(J$2:J$301))*LN(J116/SUM(J$2:J$301)))</f>
        <v/>
      </c>
      <c r="R116">
        <f>IF(Datos!A116="","",(K116/SUM(K$2:K$301))*LN(K116/SUM(K$2:K$301)))</f>
        <v/>
      </c>
      <c r="S116">
        <f>IF(Datos!A116="","",(L116/SUM(L$2:L$301))*LN(L116/SUM(L$2:L$301)))</f>
        <v/>
      </c>
      <c r="T116">
        <f>IF(Datos!A116="","",(M116/SUM(M$2:M$301))*LN(M116/SUM(M$2:M$301)))</f>
        <v/>
      </c>
      <c r="U116">
        <f>IF(Datos!A116="","",(N116/SUM(N$2:N$301))*LN(N116/SUM(N$2:N$301)))</f>
        <v/>
      </c>
      <c r="V116">
        <f>IF(Datos!A116="","",(O116/SUM(O$2:O$301))*LN(O116/SUM(O$2:O$301)))</f>
        <v/>
      </c>
      <c r="X116">
        <f>IF(Datos!A116="","",IF(SUMSQ(C$2:C$301)=0,0,C116/SQRT(SUMSQ(C$2:C$301)))*$BE$2)</f>
        <v/>
      </c>
      <c r="Y116">
        <f>IF(Datos!A116="","",IF(SUMSQ(D$2:D$301)=0,0,D116/SQRT(SUMSQ(D$2:D$301)))*$BE$3)</f>
        <v/>
      </c>
      <c r="Z116">
        <f>IF(Datos!A116="","",IF(SUMSQ(E$2:E$301)=0,0,E116/SQRT(SUMSQ(E$2:E$301)))*$BE$4)</f>
        <v/>
      </c>
      <c r="AA116">
        <f>IF(Datos!A116="","",IF(SUMSQ(F$2:F$301)=0,0,F116/SQRT(SUMSQ(F$2:F$301)))*$BE$5)</f>
        <v/>
      </c>
      <c r="AB116">
        <f>IF(Datos!A116="","",IF(SUMSQ(G$2:G$301)=0,0,G116/SQRT(SUMSQ(G$2:G$301)))*$BE$6)</f>
        <v/>
      </c>
      <c r="AC116">
        <f>IF(Datos!A116="","",IF(SUMSQ(H$2:H$301)=0,0,H116/SQRT(SUMSQ(H$2:H$301)))*$BE$7)</f>
        <v/>
      </c>
      <c r="AE116">
        <f>IF(Datos!A116="","",SQRT(SUMXMY2(X116:AC116,$X$303:$AC$303)))</f>
        <v/>
      </c>
      <c r="AF116">
        <f>IF(Datos!A116="","",SQRT(SUMXMY2(X116:AC116,$X$304:$AC$304)))</f>
        <v/>
      </c>
      <c r="AG116" s="11">
        <f>IF(Datos!A116="","",IF(AE116+AF116&lt;0.000000001,0.5,AF116/(AE116+AF116)))</f>
        <v/>
      </c>
      <c r="AH116">
        <f>IF(Datos!A116="","",AG116*MAX(C116*D116,1))</f>
        <v/>
      </c>
      <c r="AI116">
        <f>IF(Datos!A116="","",SUMIF($AH$2:$AH$301,"&gt;="&amp;AH116,$AH$2:$AH$301)/SUM($AH$2:$AH$301))</f>
        <v/>
      </c>
      <c r="AJ116" s="12">
        <f>IF(Datos!A116="","",IF(AI116&lt;=Parametros!$B$13,"A",IF(AI116&lt;=Parametros!$B$14,"B","C")))</f>
        <v/>
      </c>
      <c r="AK116" s="13">
        <f>IF(Datos!A116="","",VLOOKUP(AJ116,Parametros!$A$8:$C$10,2,FALSE))</f>
        <v/>
      </c>
      <c r="AL116">
        <f>IF(Datos!A116="","",VLOOKUP(AJ116,Parametros!$A$8:$C$10,3,FALSE))</f>
        <v/>
      </c>
      <c r="AM116">
        <f>IF(Datos!A116="","",NORMSINV(AK116))</f>
        <v/>
      </c>
      <c r="AN116">
        <f>IF(Datos!A116="","",D116/Parametros!$B$4)</f>
        <v/>
      </c>
      <c r="AO116">
        <f>IF(Datos!A116="","",MAX(0,ROUNDUP(AM116*(AN116*Parametros!$B$3)*SQRT((AL116+E116)),0)))</f>
        <v/>
      </c>
      <c r="AP116">
        <f>IF(Datos!A116="","",MAX(1,ROUNDUP(AN116*(AL116+E116)+AM116*(AN116*Parametros!$B$3)*SQRT((AL116+E116)),0)))</f>
        <v/>
      </c>
      <c r="AQ116">
        <f>IF(Datos!A116="","",IF(Datos!J116="","",Datos!J116))</f>
        <v/>
      </c>
      <c r="AR116">
        <f>IF(OR(Datos!A116="",AQ116=""),"",MAX(0,AQ116-AP116))</f>
        <v/>
      </c>
      <c r="AS116" s="10">
        <f>IF(OR(Datos!A116="",AQ116=""),"",AR116*C116)</f>
        <v/>
      </c>
      <c r="AT116" s="12">
        <f>IF(OR(Datos!A116="",AQ116=""),"",IF(AQ116&lt;AO116,"SI",""))</f>
        <v/>
      </c>
      <c r="AU116">
        <f>IF(Datos!A116="","",IF(AT116="SI","Reponer ahora",IF(AND(AQ116&lt;&gt;"",AR116&gt;0),"Bajar "&amp;TEXT(AR116,"#,##0")&amp;" un.","En rango")))</f>
        <v/>
      </c>
    </row>
    <row r="117">
      <c r="A117">
        <f>IF(Datos!A117="","",Datos!A117)</f>
        <v/>
      </c>
      <c r="B117">
        <f>IF(Datos!A117="","",Datos!B117)</f>
        <v/>
      </c>
      <c r="C117">
        <f>IF(Datos!A117="","",IFERROR(MAX(0,N(Datos!D117)),0))</f>
        <v/>
      </c>
      <c r="D117">
        <f>IF(Datos!A117="","",IFERROR(MAX(0,N(Datos!E117)),0))</f>
        <v/>
      </c>
      <c r="E117">
        <f>IF(Datos!A117="","",IFERROR(MAX(0,N(Datos!F117)),0))</f>
        <v/>
      </c>
      <c r="F117">
        <f>IF(Datos!A117="","",IFERROR(MAX(0,N(Datos!G117)),0))</f>
        <v/>
      </c>
      <c r="G117">
        <f>IF(Datos!A117="","",IFERROR(MAX(0,N(Datos!H117)),0))</f>
        <v/>
      </c>
      <c r="H117">
        <f>IF(Datos!A117="","",IFERROR(MAX(0,N(Datos!I117)),0))</f>
        <v/>
      </c>
      <c r="J117">
        <f>IF(Datos!A117="","",IF(MAX(C$2:C$301)-MIN(C$2:C$301)&lt;0.000000001,0.5,(C117-MIN(C$2:C$301))/(MAX(C$2:C$301)-MIN(C$2:C$301)))+0.000000001)</f>
        <v/>
      </c>
      <c r="K117">
        <f>IF(Datos!A117="","",IF(MAX(D$2:D$301)-MIN(D$2:D$301)&lt;0.000000001,0.5,(D117-MIN(D$2:D$301))/(MAX(D$2:D$301)-MIN(D$2:D$301)))+0.000000001)</f>
        <v/>
      </c>
      <c r="L117">
        <f>IF(Datos!A117="","",IF(MAX(E$2:E$301)-MIN(E$2:E$301)&lt;0.000000001,0.5,(E117-MIN(E$2:E$301))/(MAX(E$2:E$301)-MIN(E$2:E$301)))+0.000000001)</f>
        <v/>
      </c>
      <c r="M117">
        <f>IF(Datos!A117="","",IF(MAX(F$2:F$301)-MIN(F$2:F$301)&lt;0.000000001,0.5,(F117-MIN(F$2:F$301))/(MAX(F$2:F$301)-MIN(F$2:F$301)))+0.000000001)</f>
        <v/>
      </c>
      <c r="N117">
        <f>IF(Datos!A117="","",IF(MAX(G$2:G$301)-MIN(G$2:G$301)&lt;0.000000001,0.5,(G117-MIN(G$2:G$301))/(MAX(G$2:G$301)-MIN(G$2:G$301)))+0.000000001)</f>
        <v/>
      </c>
      <c r="O117">
        <f>IF(Datos!A117="","",IF(MAX(H$2:H$301)-MIN(H$2:H$301)&lt;0.000000001,0.5,(H117-MIN(H$2:H$301))/(MAX(H$2:H$301)-MIN(H$2:H$301)))+0.000000001)</f>
        <v/>
      </c>
      <c r="Q117">
        <f>IF(Datos!A117="","",(J117/SUM(J$2:J$301))*LN(J117/SUM(J$2:J$301)))</f>
        <v/>
      </c>
      <c r="R117">
        <f>IF(Datos!A117="","",(K117/SUM(K$2:K$301))*LN(K117/SUM(K$2:K$301)))</f>
        <v/>
      </c>
      <c r="S117">
        <f>IF(Datos!A117="","",(L117/SUM(L$2:L$301))*LN(L117/SUM(L$2:L$301)))</f>
        <v/>
      </c>
      <c r="T117">
        <f>IF(Datos!A117="","",(M117/SUM(M$2:M$301))*LN(M117/SUM(M$2:M$301)))</f>
        <v/>
      </c>
      <c r="U117">
        <f>IF(Datos!A117="","",(N117/SUM(N$2:N$301))*LN(N117/SUM(N$2:N$301)))</f>
        <v/>
      </c>
      <c r="V117">
        <f>IF(Datos!A117="","",(O117/SUM(O$2:O$301))*LN(O117/SUM(O$2:O$301)))</f>
        <v/>
      </c>
      <c r="X117">
        <f>IF(Datos!A117="","",IF(SUMSQ(C$2:C$301)=0,0,C117/SQRT(SUMSQ(C$2:C$301)))*$BE$2)</f>
        <v/>
      </c>
      <c r="Y117">
        <f>IF(Datos!A117="","",IF(SUMSQ(D$2:D$301)=0,0,D117/SQRT(SUMSQ(D$2:D$301)))*$BE$3)</f>
        <v/>
      </c>
      <c r="Z117">
        <f>IF(Datos!A117="","",IF(SUMSQ(E$2:E$301)=0,0,E117/SQRT(SUMSQ(E$2:E$301)))*$BE$4)</f>
        <v/>
      </c>
      <c r="AA117">
        <f>IF(Datos!A117="","",IF(SUMSQ(F$2:F$301)=0,0,F117/SQRT(SUMSQ(F$2:F$301)))*$BE$5)</f>
        <v/>
      </c>
      <c r="AB117">
        <f>IF(Datos!A117="","",IF(SUMSQ(G$2:G$301)=0,0,G117/SQRT(SUMSQ(G$2:G$301)))*$BE$6)</f>
        <v/>
      </c>
      <c r="AC117">
        <f>IF(Datos!A117="","",IF(SUMSQ(H$2:H$301)=0,0,H117/SQRT(SUMSQ(H$2:H$301)))*$BE$7)</f>
        <v/>
      </c>
      <c r="AE117">
        <f>IF(Datos!A117="","",SQRT(SUMXMY2(X117:AC117,$X$303:$AC$303)))</f>
        <v/>
      </c>
      <c r="AF117">
        <f>IF(Datos!A117="","",SQRT(SUMXMY2(X117:AC117,$X$304:$AC$304)))</f>
        <v/>
      </c>
      <c r="AG117" s="11">
        <f>IF(Datos!A117="","",IF(AE117+AF117&lt;0.000000001,0.5,AF117/(AE117+AF117)))</f>
        <v/>
      </c>
      <c r="AH117">
        <f>IF(Datos!A117="","",AG117*MAX(C117*D117,1))</f>
        <v/>
      </c>
      <c r="AI117">
        <f>IF(Datos!A117="","",SUMIF($AH$2:$AH$301,"&gt;="&amp;AH117,$AH$2:$AH$301)/SUM($AH$2:$AH$301))</f>
        <v/>
      </c>
      <c r="AJ117" s="12">
        <f>IF(Datos!A117="","",IF(AI117&lt;=Parametros!$B$13,"A",IF(AI117&lt;=Parametros!$B$14,"B","C")))</f>
        <v/>
      </c>
      <c r="AK117" s="13">
        <f>IF(Datos!A117="","",VLOOKUP(AJ117,Parametros!$A$8:$C$10,2,FALSE))</f>
        <v/>
      </c>
      <c r="AL117">
        <f>IF(Datos!A117="","",VLOOKUP(AJ117,Parametros!$A$8:$C$10,3,FALSE))</f>
        <v/>
      </c>
      <c r="AM117">
        <f>IF(Datos!A117="","",NORMSINV(AK117))</f>
        <v/>
      </c>
      <c r="AN117">
        <f>IF(Datos!A117="","",D117/Parametros!$B$4)</f>
        <v/>
      </c>
      <c r="AO117">
        <f>IF(Datos!A117="","",MAX(0,ROUNDUP(AM117*(AN117*Parametros!$B$3)*SQRT((AL117+E117)),0)))</f>
        <v/>
      </c>
      <c r="AP117">
        <f>IF(Datos!A117="","",MAX(1,ROUNDUP(AN117*(AL117+E117)+AM117*(AN117*Parametros!$B$3)*SQRT((AL117+E117)),0)))</f>
        <v/>
      </c>
      <c r="AQ117">
        <f>IF(Datos!A117="","",IF(Datos!J117="","",Datos!J117))</f>
        <v/>
      </c>
      <c r="AR117">
        <f>IF(OR(Datos!A117="",AQ117=""),"",MAX(0,AQ117-AP117))</f>
        <v/>
      </c>
      <c r="AS117" s="10">
        <f>IF(OR(Datos!A117="",AQ117=""),"",AR117*C117)</f>
        <v/>
      </c>
      <c r="AT117" s="12">
        <f>IF(OR(Datos!A117="",AQ117=""),"",IF(AQ117&lt;AO117,"SI",""))</f>
        <v/>
      </c>
      <c r="AU117">
        <f>IF(Datos!A117="","",IF(AT117="SI","Reponer ahora",IF(AND(AQ117&lt;&gt;"",AR117&gt;0),"Bajar "&amp;TEXT(AR117,"#,##0")&amp;" un.","En rango")))</f>
        <v/>
      </c>
    </row>
    <row r="118">
      <c r="A118">
        <f>IF(Datos!A118="","",Datos!A118)</f>
        <v/>
      </c>
      <c r="B118">
        <f>IF(Datos!A118="","",Datos!B118)</f>
        <v/>
      </c>
      <c r="C118">
        <f>IF(Datos!A118="","",IFERROR(MAX(0,N(Datos!D118)),0))</f>
        <v/>
      </c>
      <c r="D118">
        <f>IF(Datos!A118="","",IFERROR(MAX(0,N(Datos!E118)),0))</f>
        <v/>
      </c>
      <c r="E118">
        <f>IF(Datos!A118="","",IFERROR(MAX(0,N(Datos!F118)),0))</f>
        <v/>
      </c>
      <c r="F118">
        <f>IF(Datos!A118="","",IFERROR(MAX(0,N(Datos!G118)),0))</f>
        <v/>
      </c>
      <c r="G118">
        <f>IF(Datos!A118="","",IFERROR(MAX(0,N(Datos!H118)),0))</f>
        <v/>
      </c>
      <c r="H118">
        <f>IF(Datos!A118="","",IFERROR(MAX(0,N(Datos!I118)),0))</f>
        <v/>
      </c>
      <c r="J118">
        <f>IF(Datos!A118="","",IF(MAX(C$2:C$301)-MIN(C$2:C$301)&lt;0.000000001,0.5,(C118-MIN(C$2:C$301))/(MAX(C$2:C$301)-MIN(C$2:C$301)))+0.000000001)</f>
        <v/>
      </c>
      <c r="K118">
        <f>IF(Datos!A118="","",IF(MAX(D$2:D$301)-MIN(D$2:D$301)&lt;0.000000001,0.5,(D118-MIN(D$2:D$301))/(MAX(D$2:D$301)-MIN(D$2:D$301)))+0.000000001)</f>
        <v/>
      </c>
      <c r="L118">
        <f>IF(Datos!A118="","",IF(MAX(E$2:E$301)-MIN(E$2:E$301)&lt;0.000000001,0.5,(E118-MIN(E$2:E$301))/(MAX(E$2:E$301)-MIN(E$2:E$301)))+0.000000001)</f>
        <v/>
      </c>
      <c r="M118">
        <f>IF(Datos!A118="","",IF(MAX(F$2:F$301)-MIN(F$2:F$301)&lt;0.000000001,0.5,(F118-MIN(F$2:F$301))/(MAX(F$2:F$301)-MIN(F$2:F$301)))+0.000000001)</f>
        <v/>
      </c>
      <c r="N118">
        <f>IF(Datos!A118="","",IF(MAX(G$2:G$301)-MIN(G$2:G$301)&lt;0.000000001,0.5,(G118-MIN(G$2:G$301))/(MAX(G$2:G$301)-MIN(G$2:G$301)))+0.000000001)</f>
        <v/>
      </c>
      <c r="O118">
        <f>IF(Datos!A118="","",IF(MAX(H$2:H$301)-MIN(H$2:H$301)&lt;0.000000001,0.5,(H118-MIN(H$2:H$301))/(MAX(H$2:H$301)-MIN(H$2:H$301)))+0.000000001)</f>
        <v/>
      </c>
      <c r="Q118">
        <f>IF(Datos!A118="","",(J118/SUM(J$2:J$301))*LN(J118/SUM(J$2:J$301)))</f>
        <v/>
      </c>
      <c r="R118">
        <f>IF(Datos!A118="","",(K118/SUM(K$2:K$301))*LN(K118/SUM(K$2:K$301)))</f>
        <v/>
      </c>
      <c r="S118">
        <f>IF(Datos!A118="","",(L118/SUM(L$2:L$301))*LN(L118/SUM(L$2:L$301)))</f>
        <v/>
      </c>
      <c r="T118">
        <f>IF(Datos!A118="","",(M118/SUM(M$2:M$301))*LN(M118/SUM(M$2:M$301)))</f>
        <v/>
      </c>
      <c r="U118">
        <f>IF(Datos!A118="","",(N118/SUM(N$2:N$301))*LN(N118/SUM(N$2:N$301)))</f>
        <v/>
      </c>
      <c r="V118">
        <f>IF(Datos!A118="","",(O118/SUM(O$2:O$301))*LN(O118/SUM(O$2:O$301)))</f>
        <v/>
      </c>
      <c r="X118">
        <f>IF(Datos!A118="","",IF(SUMSQ(C$2:C$301)=0,0,C118/SQRT(SUMSQ(C$2:C$301)))*$BE$2)</f>
        <v/>
      </c>
      <c r="Y118">
        <f>IF(Datos!A118="","",IF(SUMSQ(D$2:D$301)=0,0,D118/SQRT(SUMSQ(D$2:D$301)))*$BE$3)</f>
        <v/>
      </c>
      <c r="Z118">
        <f>IF(Datos!A118="","",IF(SUMSQ(E$2:E$301)=0,0,E118/SQRT(SUMSQ(E$2:E$301)))*$BE$4)</f>
        <v/>
      </c>
      <c r="AA118">
        <f>IF(Datos!A118="","",IF(SUMSQ(F$2:F$301)=0,0,F118/SQRT(SUMSQ(F$2:F$301)))*$BE$5)</f>
        <v/>
      </c>
      <c r="AB118">
        <f>IF(Datos!A118="","",IF(SUMSQ(G$2:G$301)=0,0,G118/SQRT(SUMSQ(G$2:G$301)))*$BE$6)</f>
        <v/>
      </c>
      <c r="AC118">
        <f>IF(Datos!A118="","",IF(SUMSQ(H$2:H$301)=0,0,H118/SQRT(SUMSQ(H$2:H$301)))*$BE$7)</f>
        <v/>
      </c>
      <c r="AE118">
        <f>IF(Datos!A118="","",SQRT(SUMXMY2(X118:AC118,$X$303:$AC$303)))</f>
        <v/>
      </c>
      <c r="AF118">
        <f>IF(Datos!A118="","",SQRT(SUMXMY2(X118:AC118,$X$304:$AC$304)))</f>
        <v/>
      </c>
      <c r="AG118" s="11">
        <f>IF(Datos!A118="","",IF(AE118+AF118&lt;0.000000001,0.5,AF118/(AE118+AF118)))</f>
        <v/>
      </c>
      <c r="AH118">
        <f>IF(Datos!A118="","",AG118*MAX(C118*D118,1))</f>
        <v/>
      </c>
      <c r="AI118">
        <f>IF(Datos!A118="","",SUMIF($AH$2:$AH$301,"&gt;="&amp;AH118,$AH$2:$AH$301)/SUM($AH$2:$AH$301))</f>
        <v/>
      </c>
      <c r="AJ118" s="12">
        <f>IF(Datos!A118="","",IF(AI118&lt;=Parametros!$B$13,"A",IF(AI118&lt;=Parametros!$B$14,"B","C")))</f>
        <v/>
      </c>
      <c r="AK118" s="13">
        <f>IF(Datos!A118="","",VLOOKUP(AJ118,Parametros!$A$8:$C$10,2,FALSE))</f>
        <v/>
      </c>
      <c r="AL118">
        <f>IF(Datos!A118="","",VLOOKUP(AJ118,Parametros!$A$8:$C$10,3,FALSE))</f>
        <v/>
      </c>
      <c r="AM118">
        <f>IF(Datos!A118="","",NORMSINV(AK118))</f>
        <v/>
      </c>
      <c r="AN118">
        <f>IF(Datos!A118="","",D118/Parametros!$B$4)</f>
        <v/>
      </c>
      <c r="AO118">
        <f>IF(Datos!A118="","",MAX(0,ROUNDUP(AM118*(AN118*Parametros!$B$3)*SQRT((AL118+E118)),0)))</f>
        <v/>
      </c>
      <c r="AP118">
        <f>IF(Datos!A118="","",MAX(1,ROUNDUP(AN118*(AL118+E118)+AM118*(AN118*Parametros!$B$3)*SQRT((AL118+E118)),0)))</f>
        <v/>
      </c>
      <c r="AQ118">
        <f>IF(Datos!A118="","",IF(Datos!J118="","",Datos!J118))</f>
        <v/>
      </c>
      <c r="AR118">
        <f>IF(OR(Datos!A118="",AQ118=""),"",MAX(0,AQ118-AP118))</f>
        <v/>
      </c>
      <c r="AS118" s="10">
        <f>IF(OR(Datos!A118="",AQ118=""),"",AR118*C118)</f>
        <v/>
      </c>
      <c r="AT118" s="12">
        <f>IF(OR(Datos!A118="",AQ118=""),"",IF(AQ118&lt;AO118,"SI",""))</f>
        <v/>
      </c>
      <c r="AU118">
        <f>IF(Datos!A118="","",IF(AT118="SI","Reponer ahora",IF(AND(AQ118&lt;&gt;"",AR118&gt;0),"Bajar "&amp;TEXT(AR118,"#,##0")&amp;" un.","En rango")))</f>
        <v/>
      </c>
    </row>
    <row r="119">
      <c r="A119">
        <f>IF(Datos!A119="","",Datos!A119)</f>
        <v/>
      </c>
      <c r="B119">
        <f>IF(Datos!A119="","",Datos!B119)</f>
        <v/>
      </c>
      <c r="C119">
        <f>IF(Datos!A119="","",IFERROR(MAX(0,N(Datos!D119)),0))</f>
        <v/>
      </c>
      <c r="D119">
        <f>IF(Datos!A119="","",IFERROR(MAX(0,N(Datos!E119)),0))</f>
        <v/>
      </c>
      <c r="E119">
        <f>IF(Datos!A119="","",IFERROR(MAX(0,N(Datos!F119)),0))</f>
        <v/>
      </c>
      <c r="F119">
        <f>IF(Datos!A119="","",IFERROR(MAX(0,N(Datos!G119)),0))</f>
        <v/>
      </c>
      <c r="G119">
        <f>IF(Datos!A119="","",IFERROR(MAX(0,N(Datos!H119)),0))</f>
        <v/>
      </c>
      <c r="H119">
        <f>IF(Datos!A119="","",IFERROR(MAX(0,N(Datos!I119)),0))</f>
        <v/>
      </c>
      <c r="J119">
        <f>IF(Datos!A119="","",IF(MAX(C$2:C$301)-MIN(C$2:C$301)&lt;0.000000001,0.5,(C119-MIN(C$2:C$301))/(MAX(C$2:C$301)-MIN(C$2:C$301)))+0.000000001)</f>
        <v/>
      </c>
      <c r="K119">
        <f>IF(Datos!A119="","",IF(MAX(D$2:D$301)-MIN(D$2:D$301)&lt;0.000000001,0.5,(D119-MIN(D$2:D$301))/(MAX(D$2:D$301)-MIN(D$2:D$301)))+0.000000001)</f>
        <v/>
      </c>
      <c r="L119">
        <f>IF(Datos!A119="","",IF(MAX(E$2:E$301)-MIN(E$2:E$301)&lt;0.000000001,0.5,(E119-MIN(E$2:E$301))/(MAX(E$2:E$301)-MIN(E$2:E$301)))+0.000000001)</f>
        <v/>
      </c>
      <c r="M119">
        <f>IF(Datos!A119="","",IF(MAX(F$2:F$301)-MIN(F$2:F$301)&lt;0.000000001,0.5,(F119-MIN(F$2:F$301))/(MAX(F$2:F$301)-MIN(F$2:F$301)))+0.000000001)</f>
        <v/>
      </c>
      <c r="N119">
        <f>IF(Datos!A119="","",IF(MAX(G$2:G$301)-MIN(G$2:G$301)&lt;0.000000001,0.5,(G119-MIN(G$2:G$301))/(MAX(G$2:G$301)-MIN(G$2:G$301)))+0.000000001)</f>
        <v/>
      </c>
      <c r="O119">
        <f>IF(Datos!A119="","",IF(MAX(H$2:H$301)-MIN(H$2:H$301)&lt;0.000000001,0.5,(H119-MIN(H$2:H$301))/(MAX(H$2:H$301)-MIN(H$2:H$301)))+0.000000001)</f>
        <v/>
      </c>
      <c r="Q119">
        <f>IF(Datos!A119="","",(J119/SUM(J$2:J$301))*LN(J119/SUM(J$2:J$301)))</f>
        <v/>
      </c>
      <c r="R119">
        <f>IF(Datos!A119="","",(K119/SUM(K$2:K$301))*LN(K119/SUM(K$2:K$301)))</f>
        <v/>
      </c>
      <c r="S119">
        <f>IF(Datos!A119="","",(L119/SUM(L$2:L$301))*LN(L119/SUM(L$2:L$301)))</f>
        <v/>
      </c>
      <c r="T119">
        <f>IF(Datos!A119="","",(M119/SUM(M$2:M$301))*LN(M119/SUM(M$2:M$301)))</f>
        <v/>
      </c>
      <c r="U119">
        <f>IF(Datos!A119="","",(N119/SUM(N$2:N$301))*LN(N119/SUM(N$2:N$301)))</f>
        <v/>
      </c>
      <c r="V119">
        <f>IF(Datos!A119="","",(O119/SUM(O$2:O$301))*LN(O119/SUM(O$2:O$301)))</f>
        <v/>
      </c>
      <c r="X119">
        <f>IF(Datos!A119="","",IF(SUMSQ(C$2:C$301)=0,0,C119/SQRT(SUMSQ(C$2:C$301)))*$BE$2)</f>
        <v/>
      </c>
      <c r="Y119">
        <f>IF(Datos!A119="","",IF(SUMSQ(D$2:D$301)=0,0,D119/SQRT(SUMSQ(D$2:D$301)))*$BE$3)</f>
        <v/>
      </c>
      <c r="Z119">
        <f>IF(Datos!A119="","",IF(SUMSQ(E$2:E$301)=0,0,E119/SQRT(SUMSQ(E$2:E$301)))*$BE$4)</f>
        <v/>
      </c>
      <c r="AA119">
        <f>IF(Datos!A119="","",IF(SUMSQ(F$2:F$301)=0,0,F119/SQRT(SUMSQ(F$2:F$301)))*$BE$5)</f>
        <v/>
      </c>
      <c r="AB119">
        <f>IF(Datos!A119="","",IF(SUMSQ(G$2:G$301)=0,0,G119/SQRT(SUMSQ(G$2:G$301)))*$BE$6)</f>
        <v/>
      </c>
      <c r="AC119">
        <f>IF(Datos!A119="","",IF(SUMSQ(H$2:H$301)=0,0,H119/SQRT(SUMSQ(H$2:H$301)))*$BE$7)</f>
        <v/>
      </c>
      <c r="AE119">
        <f>IF(Datos!A119="","",SQRT(SUMXMY2(X119:AC119,$X$303:$AC$303)))</f>
        <v/>
      </c>
      <c r="AF119">
        <f>IF(Datos!A119="","",SQRT(SUMXMY2(X119:AC119,$X$304:$AC$304)))</f>
        <v/>
      </c>
      <c r="AG119" s="11">
        <f>IF(Datos!A119="","",IF(AE119+AF119&lt;0.000000001,0.5,AF119/(AE119+AF119)))</f>
        <v/>
      </c>
      <c r="AH119">
        <f>IF(Datos!A119="","",AG119*MAX(C119*D119,1))</f>
        <v/>
      </c>
      <c r="AI119">
        <f>IF(Datos!A119="","",SUMIF($AH$2:$AH$301,"&gt;="&amp;AH119,$AH$2:$AH$301)/SUM($AH$2:$AH$301))</f>
        <v/>
      </c>
      <c r="AJ119" s="12">
        <f>IF(Datos!A119="","",IF(AI119&lt;=Parametros!$B$13,"A",IF(AI119&lt;=Parametros!$B$14,"B","C")))</f>
        <v/>
      </c>
      <c r="AK119" s="13">
        <f>IF(Datos!A119="","",VLOOKUP(AJ119,Parametros!$A$8:$C$10,2,FALSE))</f>
        <v/>
      </c>
      <c r="AL119">
        <f>IF(Datos!A119="","",VLOOKUP(AJ119,Parametros!$A$8:$C$10,3,FALSE))</f>
        <v/>
      </c>
      <c r="AM119">
        <f>IF(Datos!A119="","",NORMSINV(AK119))</f>
        <v/>
      </c>
      <c r="AN119">
        <f>IF(Datos!A119="","",D119/Parametros!$B$4)</f>
        <v/>
      </c>
      <c r="AO119">
        <f>IF(Datos!A119="","",MAX(0,ROUNDUP(AM119*(AN119*Parametros!$B$3)*SQRT((AL119+E119)),0)))</f>
        <v/>
      </c>
      <c r="AP119">
        <f>IF(Datos!A119="","",MAX(1,ROUNDUP(AN119*(AL119+E119)+AM119*(AN119*Parametros!$B$3)*SQRT((AL119+E119)),0)))</f>
        <v/>
      </c>
      <c r="AQ119">
        <f>IF(Datos!A119="","",IF(Datos!J119="","",Datos!J119))</f>
        <v/>
      </c>
      <c r="AR119">
        <f>IF(OR(Datos!A119="",AQ119=""),"",MAX(0,AQ119-AP119))</f>
        <v/>
      </c>
      <c r="AS119" s="10">
        <f>IF(OR(Datos!A119="",AQ119=""),"",AR119*C119)</f>
        <v/>
      </c>
      <c r="AT119" s="12">
        <f>IF(OR(Datos!A119="",AQ119=""),"",IF(AQ119&lt;AO119,"SI",""))</f>
        <v/>
      </c>
      <c r="AU119">
        <f>IF(Datos!A119="","",IF(AT119="SI","Reponer ahora",IF(AND(AQ119&lt;&gt;"",AR119&gt;0),"Bajar "&amp;TEXT(AR119,"#,##0")&amp;" un.","En rango")))</f>
        <v/>
      </c>
    </row>
    <row r="120">
      <c r="A120">
        <f>IF(Datos!A120="","",Datos!A120)</f>
        <v/>
      </c>
      <c r="B120">
        <f>IF(Datos!A120="","",Datos!B120)</f>
        <v/>
      </c>
      <c r="C120">
        <f>IF(Datos!A120="","",IFERROR(MAX(0,N(Datos!D120)),0))</f>
        <v/>
      </c>
      <c r="D120">
        <f>IF(Datos!A120="","",IFERROR(MAX(0,N(Datos!E120)),0))</f>
        <v/>
      </c>
      <c r="E120">
        <f>IF(Datos!A120="","",IFERROR(MAX(0,N(Datos!F120)),0))</f>
        <v/>
      </c>
      <c r="F120">
        <f>IF(Datos!A120="","",IFERROR(MAX(0,N(Datos!G120)),0))</f>
        <v/>
      </c>
      <c r="G120">
        <f>IF(Datos!A120="","",IFERROR(MAX(0,N(Datos!H120)),0))</f>
        <v/>
      </c>
      <c r="H120">
        <f>IF(Datos!A120="","",IFERROR(MAX(0,N(Datos!I120)),0))</f>
        <v/>
      </c>
      <c r="J120">
        <f>IF(Datos!A120="","",IF(MAX(C$2:C$301)-MIN(C$2:C$301)&lt;0.000000001,0.5,(C120-MIN(C$2:C$301))/(MAX(C$2:C$301)-MIN(C$2:C$301)))+0.000000001)</f>
        <v/>
      </c>
      <c r="K120">
        <f>IF(Datos!A120="","",IF(MAX(D$2:D$301)-MIN(D$2:D$301)&lt;0.000000001,0.5,(D120-MIN(D$2:D$301))/(MAX(D$2:D$301)-MIN(D$2:D$301)))+0.000000001)</f>
        <v/>
      </c>
      <c r="L120">
        <f>IF(Datos!A120="","",IF(MAX(E$2:E$301)-MIN(E$2:E$301)&lt;0.000000001,0.5,(E120-MIN(E$2:E$301))/(MAX(E$2:E$301)-MIN(E$2:E$301)))+0.000000001)</f>
        <v/>
      </c>
      <c r="M120">
        <f>IF(Datos!A120="","",IF(MAX(F$2:F$301)-MIN(F$2:F$301)&lt;0.000000001,0.5,(F120-MIN(F$2:F$301))/(MAX(F$2:F$301)-MIN(F$2:F$301)))+0.000000001)</f>
        <v/>
      </c>
      <c r="N120">
        <f>IF(Datos!A120="","",IF(MAX(G$2:G$301)-MIN(G$2:G$301)&lt;0.000000001,0.5,(G120-MIN(G$2:G$301))/(MAX(G$2:G$301)-MIN(G$2:G$301)))+0.000000001)</f>
        <v/>
      </c>
      <c r="O120">
        <f>IF(Datos!A120="","",IF(MAX(H$2:H$301)-MIN(H$2:H$301)&lt;0.000000001,0.5,(H120-MIN(H$2:H$301))/(MAX(H$2:H$301)-MIN(H$2:H$301)))+0.000000001)</f>
        <v/>
      </c>
      <c r="Q120">
        <f>IF(Datos!A120="","",(J120/SUM(J$2:J$301))*LN(J120/SUM(J$2:J$301)))</f>
        <v/>
      </c>
      <c r="R120">
        <f>IF(Datos!A120="","",(K120/SUM(K$2:K$301))*LN(K120/SUM(K$2:K$301)))</f>
        <v/>
      </c>
      <c r="S120">
        <f>IF(Datos!A120="","",(L120/SUM(L$2:L$301))*LN(L120/SUM(L$2:L$301)))</f>
        <v/>
      </c>
      <c r="T120">
        <f>IF(Datos!A120="","",(M120/SUM(M$2:M$301))*LN(M120/SUM(M$2:M$301)))</f>
        <v/>
      </c>
      <c r="U120">
        <f>IF(Datos!A120="","",(N120/SUM(N$2:N$301))*LN(N120/SUM(N$2:N$301)))</f>
        <v/>
      </c>
      <c r="V120">
        <f>IF(Datos!A120="","",(O120/SUM(O$2:O$301))*LN(O120/SUM(O$2:O$301)))</f>
        <v/>
      </c>
      <c r="X120">
        <f>IF(Datos!A120="","",IF(SUMSQ(C$2:C$301)=0,0,C120/SQRT(SUMSQ(C$2:C$301)))*$BE$2)</f>
        <v/>
      </c>
      <c r="Y120">
        <f>IF(Datos!A120="","",IF(SUMSQ(D$2:D$301)=0,0,D120/SQRT(SUMSQ(D$2:D$301)))*$BE$3)</f>
        <v/>
      </c>
      <c r="Z120">
        <f>IF(Datos!A120="","",IF(SUMSQ(E$2:E$301)=0,0,E120/SQRT(SUMSQ(E$2:E$301)))*$BE$4)</f>
        <v/>
      </c>
      <c r="AA120">
        <f>IF(Datos!A120="","",IF(SUMSQ(F$2:F$301)=0,0,F120/SQRT(SUMSQ(F$2:F$301)))*$BE$5)</f>
        <v/>
      </c>
      <c r="AB120">
        <f>IF(Datos!A120="","",IF(SUMSQ(G$2:G$301)=0,0,G120/SQRT(SUMSQ(G$2:G$301)))*$BE$6)</f>
        <v/>
      </c>
      <c r="AC120">
        <f>IF(Datos!A120="","",IF(SUMSQ(H$2:H$301)=0,0,H120/SQRT(SUMSQ(H$2:H$301)))*$BE$7)</f>
        <v/>
      </c>
      <c r="AE120">
        <f>IF(Datos!A120="","",SQRT(SUMXMY2(X120:AC120,$X$303:$AC$303)))</f>
        <v/>
      </c>
      <c r="AF120">
        <f>IF(Datos!A120="","",SQRT(SUMXMY2(X120:AC120,$X$304:$AC$304)))</f>
        <v/>
      </c>
      <c r="AG120" s="11">
        <f>IF(Datos!A120="","",IF(AE120+AF120&lt;0.000000001,0.5,AF120/(AE120+AF120)))</f>
        <v/>
      </c>
      <c r="AH120">
        <f>IF(Datos!A120="","",AG120*MAX(C120*D120,1))</f>
        <v/>
      </c>
      <c r="AI120">
        <f>IF(Datos!A120="","",SUMIF($AH$2:$AH$301,"&gt;="&amp;AH120,$AH$2:$AH$301)/SUM($AH$2:$AH$301))</f>
        <v/>
      </c>
      <c r="AJ120" s="12">
        <f>IF(Datos!A120="","",IF(AI120&lt;=Parametros!$B$13,"A",IF(AI120&lt;=Parametros!$B$14,"B","C")))</f>
        <v/>
      </c>
      <c r="AK120" s="13">
        <f>IF(Datos!A120="","",VLOOKUP(AJ120,Parametros!$A$8:$C$10,2,FALSE))</f>
        <v/>
      </c>
      <c r="AL120">
        <f>IF(Datos!A120="","",VLOOKUP(AJ120,Parametros!$A$8:$C$10,3,FALSE))</f>
        <v/>
      </c>
      <c r="AM120">
        <f>IF(Datos!A120="","",NORMSINV(AK120))</f>
        <v/>
      </c>
      <c r="AN120">
        <f>IF(Datos!A120="","",D120/Parametros!$B$4)</f>
        <v/>
      </c>
      <c r="AO120">
        <f>IF(Datos!A120="","",MAX(0,ROUNDUP(AM120*(AN120*Parametros!$B$3)*SQRT((AL120+E120)),0)))</f>
        <v/>
      </c>
      <c r="AP120">
        <f>IF(Datos!A120="","",MAX(1,ROUNDUP(AN120*(AL120+E120)+AM120*(AN120*Parametros!$B$3)*SQRT((AL120+E120)),0)))</f>
        <v/>
      </c>
      <c r="AQ120">
        <f>IF(Datos!A120="","",IF(Datos!J120="","",Datos!J120))</f>
        <v/>
      </c>
      <c r="AR120">
        <f>IF(OR(Datos!A120="",AQ120=""),"",MAX(0,AQ120-AP120))</f>
        <v/>
      </c>
      <c r="AS120" s="10">
        <f>IF(OR(Datos!A120="",AQ120=""),"",AR120*C120)</f>
        <v/>
      </c>
      <c r="AT120" s="12">
        <f>IF(OR(Datos!A120="",AQ120=""),"",IF(AQ120&lt;AO120,"SI",""))</f>
        <v/>
      </c>
      <c r="AU120">
        <f>IF(Datos!A120="","",IF(AT120="SI","Reponer ahora",IF(AND(AQ120&lt;&gt;"",AR120&gt;0),"Bajar "&amp;TEXT(AR120,"#,##0")&amp;" un.","En rango")))</f>
        <v/>
      </c>
    </row>
    <row r="121">
      <c r="A121">
        <f>IF(Datos!A121="","",Datos!A121)</f>
        <v/>
      </c>
      <c r="B121">
        <f>IF(Datos!A121="","",Datos!B121)</f>
        <v/>
      </c>
      <c r="C121">
        <f>IF(Datos!A121="","",IFERROR(MAX(0,N(Datos!D121)),0))</f>
        <v/>
      </c>
      <c r="D121">
        <f>IF(Datos!A121="","",IFERROR(MAX(0,N(Datos!E121)),0))</f>
        <v/>
      </c>
      <c r="E121">
        <f>IF(Datos!A121="","",IFERROR(MAX(0,N(Datos!F121)),0))</f>
        <v/>
      </c>
      <c r="F121">
        <f>IF(Datos!A121="","",IFERROR(MAX(0,N(Datos!G121)),0))</f>
        <v/>
      </c>
      <c r="G121">
        <f>IF(Datos!A121="","",IFERROR(MAX(0,N(Datos!H121)),0))</f>
        <v/>
      </c>
      <c r="H121">
        <f>IF(Datos!A121="","",IFERROR(MAX(0,N(Datos!I121)),0))</f>
        <v/>
      </c>
      <c r="J121">
        <f>IF(Datos!A121="","",IF(MAX(C$2:C$301)-MIN(C$2:C$301)&lt;0.000000001,0.5,(C121-MIN(C$2:C$301))/(MAX(C$2:C$301)-MIN(C$2:C$301)))+0.000000001)</f>
        <v/>
      </c>
      <c r="K121">
        <f>IF(Datos!A121="","",IF(MAX(D$2:D$301)-MIN(D$2:D$301)&lt;0.000000001,0.5,(D121-MIN(D$2:D$301))/(MAX(D$2:D$301)-MIN(D$2:D$301)))+0.000000001)</f>
        <v/>
      </c>
      <c r="L121">
        <f>IF(Datos!A121="","",IF(MAX(E$2:E$301)-MIN(E$2:E$301)&lt;0.000000001,0.5,(E121-MIN(E$2:E$301))/(MAX(E$2:E$301)-MIN(E$2:E$301)))+0.000000001)</f>
        <v/>
      </c>
      <c r="M121">
        <f>IF(Datos!A121="","",IF(MAX(F$2:F$301)-MIN(F$2:F$301)&lt;0.000000001,0.5,(F121-MIN(F$2:F$301))/(MAX(F$2:F$301)-MIN(F$2:F$301)))+0.000000001)</f>
        <v/>
      </c>
      <c r="N121">
        <f>IF(Datos!A121="","",IF(MAX(G$2:G$301)-MIN(G$2:G$301)&lt;0.000000001,0.5,(G121-MIN(G$2:G$301))/(MAX(G$2:G$301)-MIN(G$2:G$301)))+0.000000001)</f>
        <v/>
      </c>
      <c r="O121">
        <f>IF(Datos!A121="","",IF(MAX(H$2:H$301)-MIN(H$2:H$301)&lt;0.000000001,0.5,(H121-MIN(H$2:H$301))/(MAX(H$2:H$301)-MIN(H$2:H$301)))+0.000000001)</f>
        <v/>
      </c>
      <c r="Q121">
        <f>IF(Datos!A121="","",(J121/SUM(J$2:J$301))*LN(J121/SUM(J$2:J$301)))</f>
        <v/>
      </c>
      <c r="R121">
        <f>IF(Datos!A121="","",(K121/SUM(K$2:K$301))*LN(K121/SUM(K$2:K$301)))</f>
        <v/>
      </c>
      <c r="S121">
        <f>IF(Datos!A121="","",(L121/SUM(L$2:L$301))*LN(L121/SUM(L$2:L$301)))</f>
        <v/>
      </c>
      <c r="T121">
        <f>IF(Datos!A121="","",(M121/SUM(M$2:M$301))*LN(M121/SUM(M$2:M$301)))</f>
        <v/>
      </c>
      <c r="U121">
        <f>IF(Datos!A121="","",(N121/SUM(N$2:N$301))*LN(N121/SUM(N$2:N$301)))</f>
        <v/>
      </c>
      <c r="V121">
        <f>IF(Datos!A121="","",(O121/SUM(O$2:O$301))*LN(O121/SUM(O$2:O$301)))</f>
        <v/>
      </c>
      <c r="X121">
        <f>IF(Datos!A121="","",IF(SUMSQ(C$2:C$301)=0,0,C121/SQRT(SUMSQ(C$2:C$301)))*$BE$2)</f>
        <v/>
      </c>
      <c r="Y121">
        <f>IF(Datos!A121="","",IF(SUMSQ(D$2:D$301)=0,0,D121/SQRT(SUMSQ(D$2:D$301)))*$BE$3)</f>
        <v/>
      </c>
      <c r="Z121">
        <f>IF(Datos!A121="","",IF(SUMSQ(E$2:E$301)=0,0,E121/SQRT(SUMSQ(E$2:E$301)))*$BE$4)</f>
        <v/>
      </c>
      <c r="AA121">
        <f>IF(Datos!A121="","",IF(SUMSQ(F$2:F$301)=0,0,F121/SQRT(SUMSQ(F$2:F$301)))*$BE$5)</f>
        <v/>
      </c>
      <c r="AB121">
        <f>IF(Datos!A121="","",IF(SUMSQ(G$2:G$301)=0,0,G121/SQRT(SUMSQ(G$2:G$301)))*$BE$6)</f>
        <v/>
      </c>
      <c r="AC121">
        <f>IF(Datos!A121="","",IF(SUMSQ(H$2:H$301)=0,0,H121/SQRT(SUMSQ(H$2:H$301)))*$BE$7)</f>
        <v/>
      </c>
      <c r="AE121">
        <f>IF(Datos!A121="","",SQRT(SUMXMY2(X121:AC121,$X$303:$AC$303)))</f>
        <v/>
      </c>
      <c r="AF121">
        <f>IF(Datos!A121="","",SQRT(SUMXMY2(X121:AC121,$X$304:$AC$304)))</f>
        <v/>
      </c>
      <c r="AG121" s="11">
        <f>IF(Datos!A121="","",IF(AE121+AF121&lt;0.000000001,0.5,AF121/(AE121+AF121)))</f>
        <v/>
      </c>
      <c r="AH121">
        <f>IF(Datos!A121="","",AG121*MAX(C121*D121,1))</f>
        <v/>
      </c>
      <c r="AI121">
        <f>IF(Datos!A121="","",SUMIF($AH$2:$AH$301,"&gt;="&amp;AH121,$AH$2:$AH$301)/SUM($AH$2:$AH$301))</f>
        <v/>
      </c>
      <c r="AJ121" s="12">
        <f>IF(Datos!A121="","",IF(AI121&lt;=Parametros!$B$13,"A",IF(AI121&lt;=Parametros!$B$14,"B","C")))</f>
        <v/>
      </c>
      <c r="AK121" s="13">
        <f>IF(Datos!A121="","",VLOOKUP(AJ121,Parametros!$A$8:$C$10,2,FALSE))</f>
        <v/>
      </c>
      <c r="AL121">
        <f>IF(Datos!A121="","",VLOOKUP(AJ121,Parametros!$A$8:$C$10,3,FALSE))</f>
        <v/>
      </c>
      <c r="AM121">
        <f>IF(Datos!A121="","",NORMSINV(AK121))</f>
        <v/>
      </c>
      <c r="AN121">
        <f>IF(Datos!A121="","",D121/Parametros!$B$4)</f>
        <v/>
      </c>
      <c r="AO121">
        <f>IF(Datos!A121="","",MAX(0,ROUNDUP(AM121*(AN121*Parametros!$B$3)*SQRT((AL121+E121)),0)))</f>
        <v/>
      </c>
      <c r="AP121">
        <f>IF(Datos!A121="","",MAX(1,ROUNDUP(AN121*(AL121+E121)+AM121*(AN121*Parametros!$B$3)*SQRT((AL121+E121)),0)))</f>
        <v/>
      </c>
      <c r="AQ121">
        <f>IF(Datos!A121="","",IF(Datos!J121="","",Datos!J121))</f>
        <v/>
      </c>
      <c r="AR121">
        <f>IF(OR(Datos!A121="",AQ121=""),"",MAX(0,AQ121-AP121))</f>
        <v/>
      </c>
      <c r="AS121" s="10">
        <f>IF(OR(Datos!A121="",AQ121=""),"",AR121*C121)</f>
        <v/>
      </c>
      <c r="AT121" s="12">
        <f>IF(OR(Datos!A121="",AQ121=""),"",IF(AQ121&lt;AO121,"SI",""))</f>
        <v/>
      </c>
      <c r="AU121">
        <f>IF(Datos!A121="","",IF(AT121="SI","Reponer ahora",IF(AND(AQ121&lt;&gt;"",AR121&gt;0),"Bajar "&amp;TEXT(AR121,"#,##0")&amp;" un.","En rango")))</f>
        <v/>
      </c>
    </row>
    <row r="122">
      <c r="A122">
        <f>IF(Datos!A122="","",Datos!A122)</f>
        <v/>
      </c>
      <c r="B122">
        <f>IF(Datos!A122="","",Datos!B122)</f>
        <v/>
      </c>
      <c r="C122">
        <f>IF(Datos!A122="","",IFERROR(MAX(0,N(Datos!D122)),0))</f>
        <v/>
      </c>
      <c r="D122">
        <f>IF(Datos!A122="","",IFERROR(MAX(0,N(Datos!E122)),0))</f>
        <v/>
      </c>
      <c r="E122">
        <f>IF(Datos!A122="","",IFERROR(MAX(0,N(Datos!F122)),0))</f>
        <v/>
      </c>
      <c r="F122">
        <f>IF(Datos!A122="","",IFERROR(MAX(0,N(Datos!G122)),0))</f>
        <v/>
      </c>
      <c r="G122">
        <f>IF(Datos!A122="","",IFERROR(MAX(0,N(Datos!H122)),0))</f>
        <v/>
      </c>
      <c r="H122">
        <f>IF(Datos!A122="","",IFERROR(MAX(0,N(Datos!I122)),0))</f>
        <v/>
      </c>
      <c r="J122">
        <f>IF(Datos!A122="","",IF(MAX(C$2:C$301)-MIN(C$2:C$301)&lt;0.000000001,0.5,(C122-MIN(C$2:C$301))/(MAX(C$2:C$301)-MIN(C$2:C$301)))+0.000000001)</f>
        <v/>
      </c>
      <c r="K122">
        <f>IF(Datos!A122="","",IF(MAX(D$2:D$301)-MIN(D$2:D$301)&lt;0.000000001,0.5,(D122-MIN(D$2:D$301))/(MAX(D$2:D$301)-MIN(D$2:D$301)))+0.000000001)</f>
        <v/>
      </c>
      <c r="L122">
        <f>IF(Datos!A122="","",IF(MAX(E$2:E$301)-MIN(E$2:E$301)&lt;0.000000001,0.5,(E122-MIN(E$2:E$301))/(MAX(E$2:E$301)-MIN(E$2:E$301)))+0.000000001)</f>
        <v/>
      </c>
      <c r="M122">
        <f>IF(Datos!A122="","",IF(MAX(F$2:F$301)-MIN(F$2:F$301)&lt;0.000000001,0.5,(F122-MIN(F$2:F$301))/(MAX(F$2:F$301)-MIN(F$2:F$301)))+0.000000001)</f>
        <v/>
      </c>
      <c r="N122">
        <f>IF(Datos!A122="","",IF(MAX(G$2:G$301)-MIN(G$2:G$301)&lt;0.000000001,0.5,(G122-MIN(G$2:G$301))/(MAX(G$2:G$301)-MIN(G$2:G$301)))+0.000000001)</f>
        <v/>
      </c>
      <c r="O122">
        <f>IF(Datos!A122="","",IF(MAX(H$2:H$301)-MIN(H$2:H$301)&lt;0.000000001,0.5,(H122-MIN(H$2:H$301))/(MAX(H$2:H$301)-MIN(H$2:H$301)))+0.000000001)</f>
        <v/>
      </c>
      <c r="Q122">
        <f>IF(Datos!A122="","",(J122/SUM(J$2:J$301))*LN(J122/SUM(J$2:J$301)))</f>
        <v/>
      </c>
      <c r="R122">
        <f>IF(Datos!A122="","",(K122/SUM(K$2:K$301))*LN(K122/SUM(K$2:K$301)))</f>
        <v/>
      </c>
      <c r="S122">
        <f>IF(Datos!A122="","",(L122/SUM(L$2:L$301))*LN(L122/SUM(L$2:L$301)))</f>
        <v/>
      </c>
      <c r="T122">
        <f>IF(Datos!A122="","",(M122/SUM(M$2:M$301))*LN(M122/SUM(M$2:M$301)))</f>
        <v/>
      </c>
      <c r="U122">
        <f>IF(Datos!A122="","",(N122/SUM(N$2:N$301))*LN(N122/SUM(N$2:N$301)))</f>
        <v/>
      </c>
      <c r="V122">
        <f>IF(Datos!A122="","",(O122/SUM(O$2:O$301))*LN(O122/SUM(O$2:O$301)))</f>
        <v/>
      </c>
      <c r="X122">
        <f>IF(Datos!A122="","",IF(SUMSQ(C$2:C$301)=0,0,C122/SQRT(SUMSQ(C$2:C$301)))*$BE$2)</f>
        <v/>
      </c>
      <c r="Y122">
        <f>IF(Datos!A122="","",IF(SUMSQ(D$2:D$301)=0,0,D122/SQRT(SUMSQ(D$2:D$301)))*$BE$3)</f>
        <v/>
      </c>
      <c r="Z122">
        <f>IF(Datos!A122="","",IF(SUMSQ(E$2:E$301)=0,0,E122/SQRT(SUMSQ(E$2:E$301)))*$BE$4)</f>
        <v/>
      </c>
      <c r="AA122">
        <f>IF(Datos!A122="","",IF(SUMSQ(F$2:F$301)=0,0,F122/SQRT(SUMSQ(F$2:F$301)))*$BE$5)</f>
        <v/>
      </c>
      <c r="AB122">
        <f>IF(Datos!A122="","",IF(SUMSQ(G$2:G$301)=0,0,G122/SQRT(SUMSQ(G$2:G$301)))*$BE$6)</f>
        <v/>
      </c>
      <c r="AC122">
        <f>IF(Datos!A122="","",IF(SUMSQ(H$2:H$301)=0,0,H122/SQRT(SUMSQ(H$2:H$301)))*$BE$7)</f>
        <v/>
      </c>
      <c r="AE122">
        <f>IF(Datos!A122="","",SQRT(SUMXMY2(X122:AC122,$X$303:$AC$303)))</f>
        <v/>
      </c>
      <c r="AF122">
        <f>IF(Datos!A122="","",SQRT(SUMXMY2(X122:AC122,$X$304:$AC$304)))</f>
        <v/>
      </c>
      <c r="AG122" s="11">
        <f>IF(Datos!A122="","",IF(AE122+AF122&lt;0.000000001,0.5,AF122/(AE122+AF122)))</f>
        <v/>
      </c>
      <c r="AH122">
        <f>IF(Datos!A122="","",AG122*MAX(C122*D122,1))</f>
        <v/>
      </c>
      <c r="AI122">
        <f>IF(Datos!A122="","",SUMIF($AH$2:$AH$301,"&gt;="&amp;AH122,$AH$2:$AH$301)/SUM($AH$2:$AH$301))</f>
        <v/>
      </c>
      <c r="AJ122" s="12">
        <f>IF(Datos!A122="","",IF(AI122&lt;=Parametros!$B$13,"A",IF(AI122&lt;=Parametros!$B$14,"B","C")))</f>
        <v/>
      </c>
      <c r="AK122" s="13">
        <f>IF(Datos!A122="","",VLOOKUP(AJ122,Parametros!$A$8:$C$10,2,FALSE))</f>
        <v/>
      </c>
      <c r="AL122">
        <f>IF(Datos!A122="","",VLOOKUP(AJ122,Parametros!$A$8:$C$10,3,FALSE))</f>
        <v/>
      </c>
      <c r="AM122">
        <f>IF(Datos!A122="","",NORMSINV(AK122))</f>
        <v/>
      </c>
      <c r="AN122">
        <f>IF(Datos!A122="","",D122/Parametros!$B$4)</f>
        <v/>
      </c>
      <c r="AO122">
        <f>IF(Datos!A122="","",MAX(0,ROUNDUP(AM122*(AN122*Parametros!$B$3)*SQRT((AL122+E122)),0)))</f>
        <v/>
      </c>
      <c r="AP122">
        <f>IF(Datos!A122="","",MAX(1,ROUNDUP(AN122*(AL122+E122)+AM122*(AN122*Parametros!$B$3)*SQRT((AL122+E122)),0)))</f>
        <v/>
      </c>
      <c r="AQ122">
        <f>IF(Datos!A122="","",IF(Datos!J122="","",Datos!J122))</f>
        <v/>
      </c>
      <c r="AR122">
        <f>IF(OR(Datos!A122="",AQ122=""),"",MAX(0,AQ122-AP122))</f>
        <v/>
      </c>
      <c r="AS122" s="10">
        <f>IF(OR(Datos!A122="",AQ122=""),"",AR122*C122)</f>
        <v/>
      </c>
      <c r="AT122" s="12">
        <f>IF(OR(Datos!A122="",AQ122=""),"",IF(AQ122&lt;AO122,"SI",""))</f>
        <v/>
      </c>
      <c r="AU122">
        <f>IF(Datos!A122="","",IF(AT122="SI","Reponer ahora",IF(AND(AQ122&lt;&gt;"",AR122&gt;0),"Bajar "&amp;TEXT(AR122,"#,##0")&amp;" un.","En rango")))</f>
        <v/>
      </c>
    </row>
    <row r="123">
      <c r="A123">
        <f>IF(Datos!A123="","",Datos!A123)</f>
        <v/>
      </c>
      <c r="B123">
        <f>IF(Datos!A123="","",Datos!B123)</f>
        <v/>
      </c>
      <c r="C123">
        <f>IF(Datos!A123="","",IFERROR(MAX(0,N(Datos!D123)),0))</f>
        <v/>
      </c>
      <c r="D123">
        <f>IF(Datos!A123="","",IFERROR(MAX(0,N(Datos!E123)),0))</f>
        <v/>
      </c>
      <c r="E123">
        <f>IF(Datos!A123="","",IFERROR(MAX(0,N(Datos!F123)),0))</f>
        <v/>
      </c>
      <c r="F123">
        <f>IF(Datos!A123="","",IFERROR(MAX(0,N(Datos!G123)),0))</f>
        <v/>
      </c>
      <c r="G123">
        <f>IF(Datos!A123="","",IFERROR(MAX(0,N(Datos!H123)),0))</f>
        <v/>
      </c>
      <c r="H123">
        <f>IF(Datos!A123="","",IFERROR(MAX(0,N(Datos!I123)),0))</f>
        <v/>
      </c>
      <c r="J123">
        <f>IF(Datos!A123="","",IF(MAX(C$2:C$301)-MIN(C$2:C$301)&lt;0.000000001,0.5,(C123-MIN(C$2:C$301))/(MAX(C$2:C$301)-MIN(C$2:C$301)))+0.000000001)</f>
        <v/>
      </c>
      <c r="K123">
        <f>IF(Datos!A123="","",IF(MAX(D$2:D$301)-MIN(D$2:D$301)&lt;0.000000001,0.5,(D123-MIN(D$2:D$301))/(MAX(D$2:D$301)-MIN(D$2:D$301)))+0.000000001)</f>
        <v/>
      </c>
      <c r="L123">
        <f>IF(Datos!A123="","",IF(MAX(E$2:E$301)-MIN(E$2:E$301)&lt;0.000000001,0.5,(E123-MIN(E$2:E$301))/(MAX(E$2:E$301)-MIN(E$2:E$301)))+0.000000001)</f>
        <v/>
      </c>
      <c r="M123">
        <f>IF(Datos!A123="","",IF(MAX(F$2:F$301)-MIN(F$2:F$301)&lt;0.000000001,0.5,(F123-MIN(F$2:F$301))/(MAX(F$2:F$301)-MIN(F$2:F$301)))+0.000000001)</f>
        <v/>
      </c>
      <c r="N123">
        <f>IF(Datos!A123="","",IF(MAX(G$2:G$301)-MIN(G$2:G$301)&lt;0.000000001,0.5,(G123-MIN(G$2:G$301))/(MAX(G$2:G$301)-MIN(G$2:G$301)))+0.000000001)</f>
        <v/>
      </c>
      <c r="O123">
        <f>IF(Datos!A123="","",IF(MAX(H$2:H$301)-MIN(H$2:H$301)&lt;0.000000001,0.5,(H123-MIN(H$2:H$301))/(MAX(H$2:H$301)-MIN(H$2:H$301)))+0.000000001)</f>
        <v/>
      </c>
      <c r="Q123">
        <f>IF(Datos!A123="","",(J123/SUM(J$2:J$301))*LN(J123/SUM(J$2:J$301)))</f>
        <v/>
      </c>
      <c r="R123">
        <f>IF(Datos!A123="","",(K123/SUM(K$2:K$301))*LN(K123/SUM(K$2:K$301)))</f>
        <v/>
      </c>
      <c r="S123">
        <f>IF(Datos!A123="","",(L123/SUM(L$2:L$301))*LN(L123/SUM(L$2:L$301)))</f>
        <v/>
      </c>
      <c r="T123">
        <f>IF(Datos!A123="","",(M123/SUM(M$2:M$301))*LN(M123/SUM(M$2:M$301)))</f>
        <v/>
      </c>
      <c r="U123">
        <f>IF(Datos!A123="","",(N123/SUM(N$2:N$301))*LN(N123/SUM(N$2:N$301)))</f>
        <v/>
      </c>
      <c r="V123">
        <f>IF(Datos!A123="","",(O123/SUM(O$2:O$301))*LN(O123/SUM(O$2:O$301)))</f>
        <v/>
      </c>
      <c r="X123">
        <f>IF(Datos!A123="","",IF(SUMSQ(C$2:C$301)=0,0,C123/SQRT(SUMSQ(C$2:C$301)))*$BE$2)</f>
        <v/>
      </c>
      <c r="Y123">
        <f>IF(Datos!A123="","",IF(SUMSQ(D$2:D$301)=0,0,D123/SQRT(SUMSQ(D$2:D$301)))*$BE$3)</f>
        <v/>
      </c>
      <c r="Z123">
        <f>IF(Datos!A123="","",IF(SUMSQ(E$2:E$301)=0,0,E123/SQRT(SUMSQ(E$2:E$301)))*$BE$4)</f>
        <v/>
      </c>
      <c r="AA123">
        <f>IF(Datos!A123="","",IF(SUMSQ(F$2:F$301)=0,0,F123/SQRT(SUMSQ(F$2:F$301)))*$BE$5)</f>
        <v/>
      </c>
      <c r="AB123">
        <f>IF(Datos!A123="","",IF(SUMSQ(G$2:G$301)=0,0,G123/SQRT(SUMSQ(G$2:G$301)))*$BE$6)</f>
        <v/>
      </c>
      <c r="AC123">
        <f>IF(Datos!A123="","",IF(SUMSQ(H$2:H$301)=0,0,H123/SQRT(SUMSQ(H$2:H$301)))*$BE$7)</f>
        <v/>
      </c>
      <c r="AE123">
        <f>IF(Datos!A123="","",SQRT(SUMXMY2(X123:AC123,$X$303:$AC$303)))</f>
        <v/>
      </c>
      <c r="AF123">
        <f>IF(Datos!A123="","",SQRT(SUMXMY2(X123:AC123,$X$304:$AC$304)))</f>
        <v/>
      </c>
      <c r="AG123" s="11">
        <f>IF(Datos!A123="","",IF(AE123+AF123&lt;0.000000001,0.5,AF123/(AE123+AF123)))</f>
        <v/>
      </c>
      <c r="AH123">
        <f>IF(Datos!A123="","",AG123*MAX(C123*D123,1))</f>
        <v/>
      </c>
      <c r="AI123">
        <f>IF(Datos!A123="","",SUMIF($AH$2:$AH$301,"&gt;="&amp;AH123,$AH$2:$AH$301)/SUM($AH$2:$AH$301))</f>
        <v/>
      </c>
      <c r="AJ123" s="12">
        <f>IF(Datos!A123="","",IF(AI123&lt;=Parametros!$B$13,"A",IF(AI123&lt;=Parametros!$B$14,"B","C")))</f>
        <v/>
      </c>
      <c r="AK123" s="13">
        <f>IF(Datos!A123="","",VLOOKUP(AJ123,Parametros!$A$8:$C$10,2,FALSE))</f>
        <v/>
      </c>
      <c r="AL123">
        <f>IF(Datos!A123="","",VLOOKUP(AJ123,Parametros!$A$8:$C$10,3,FALSE))</f>
        <v/>
      </c>
      <c r="AM123">
        <f>IF(Datos!A123="","",NORMSINV(AK123))</f>
        <v/>
      </c>
      <c r="AN123">
        <f>IF(Datos!A123="","",D123/Parametros!$B$4)</f>
        <v/>
      </c>
      <c r="AO123">
        <f>IF(Datos!A123="","",MAX(0,ROUNDUP(AM123*(AN123*Parametros!$B$3)*SQRT((AL123+E123)),0)))</f>
        <v/>
      </c>
      <c r="AP123">
        <f>IF(Datos!A123="","",MAX(1,ROUNDUP(AN123*(AL123+E123)+AM123*(AN123*Parametros!$B$3)*SQRT((AL123+E123)),0)))</f>
        <v/>
      </c>
      <c r="AQ123">
        <f>IF(Datos!A123="","",IF(Datos!J123="","",Datos!J123))</f>
        <v/>
      </c>
      <c r="AR123">
        <f>IF(OR(Datos!A123="",AQ123=""),"",MAX(0,AQ123-AP123))</f>
        <v/>
      </c>
      <c r="AS123" s="10">
        <f>IF(OR(Datos!A123="",AQ123=""),"",AR123*C123)</f>
        <v/>
      </c>
      <c r="AT123" s="12">
        <f>IF(OR(Datos!A123="",AQ123=""),"",IF(AQ123&lt;AO123,"SI",""))</f>
        <v/>
      </c>
      <c r="AU123">
        <f>IF(Datos!A123="","",IF(AT123="SI","Reponer ahora",IF(AND(AQ123&lt;&gt;"",AR123&gt;0),"Bajar "&amp;TEXT(AR123,"#,##0")&amp;" un.","En rango")))</f>
        <v/>
      </c>
    </row>
    <row r="124">
      <c r="A124">
        <f>IF(Datos!A124="","",Datos!A124)</f>
        <v/>
      </c>
      <c r="B124">
        <f>IF(Datos!A124="","",Datos!B124)</f>
        <v/>
      </c>
      <c r="C124">
        <f>IF(Datos!A124="","",IFERROR(MAX(0,N(Datos!D124)),0))</f>
        <v/>
      </c>
      <c r="D124">
        <f>IF(Datos!A124="","",IFERROR(MAX(0,N(Datos!E124)),0))</f>
        <v/>
      </c>
      <c r="E124">
        <f>IF(Datos!A124="","",IFERROR(MAX(0,N(Datos!F124)),0))</f>
        <v/>
      </c>
      <c r="F124">
        <f>IF(Datos!A124="","",IFERROR(MAX(0,N(Datos!G124)),0))</f>
        <v/>
      </c>
      <c r="G124">
        <f>IF(Datos!A124="","",IFERROR(MAX(0,N(Datos!H124)),0))</f>
        <v/>
      </c>
      <c r="H124">
        <f>IF(Datos!A124="","",IFERROR(MAX(0,N(Datos!I124)),0))</f>
        <v/>
      </c>
      <c r="J124">
        <f>IF(Datos!A124="","",IF(MAX(C$2:C$301)-MIN(C$2:C$301)&lt;0.000000001,0.5,(C124-MIN(C$2:C$301))/(MAX(C$2:C$301)-MIN(C$2:C$301)))+0.000000001)</f>
        <v/>
      </c>
      <c r="K124">
        <f>IF(Datos!A124="","",IF(MAX(D$2:D$301)-MIN(D$2:D$301)&lt;0.000000001,0.5,(D124-MIN(D$2:D$301))/(MAX(D$2:D$301)-MIN(D$2:D$301)))+0.000000001)</f>
        <v/>
      </c>
      <c r="L124">
        <f>IF(Datos!A124="","",IF(MAX(E$2:E$301)-MIN(E$2:E$301)&lt;0.000000001,0.5,(E124-MIN(E$2:E$301))/(MAX(E$2:E$301)-MIN(E$2:E$301)))+0.000000001)</f>
        <v/>
      </c>
      <c r="M124">
        <f>IF(Datos!A124="","",IF(MAX(F$2:F$301)-MIN(F$2:F$301)&lt;0.000000001,0.5,(F124-MIN(F$2:F$301))/(MAX(F$2:F$301)-MIN(F$2:F$301)))+0.000000001)</f>
        <v/>
      </c>
      <c r="N124">
        <f>IF(Datos!A124="","",IF(MAX(G$2:G$301)-MIN(G$2:G$301)&lt;0.000000001,0.5,(G124-MIN(G$2:G$301))/(MAX(G$2:G$301)-MIN(G$2:G$301)))+0.000000001)</f>
        <v/>
      </c>
      <c r="O124">
        <f>IF(Datos!A124="","",IF(MAX(H$2:H$301)-MIN(H$2:H$301)&lt;0.000000001,0.5,(H124-MIN(H$2:H$301))/(MAX(H$2:H$301)-MIN(H$2:H$301)))+0.000000001)</f>
        <v/>
      </c>
      <c r="Q124">
        <f>IF(Datos!A124="","",(J124/SUM(J$2:J$301))*LN(J124/SUM(J$2:J$301)))</f>
        <v/>
      </c>
      <c r="R124">
        <f>IF(Datos!A124="","",(K124/SUM(K$2:K$301))*LN(K124/SUM(K$2:K$301)))</f>
        <v/>
      </c>
      <c r="S124">
        <f>IF(Datos!A124="","",(L124/SUM(L$2:L$301))*LN(L124/SUM(L$2:L$301)))</f>
        <v/>
      </c>
      <c r="T124">
        <f>IF(Datos!A124="","",(M124/SUM(M$2:M$301))*LN(M124/SUM(M$2:M$301)))</f>
        <v/>
      </c>
      <c r="U124">
        <f>IF(Datos!A124="","",(N124/SUM(N$2:N$301))*LN(N124/SUM(N$2:N$301)))</f>
        <v/>
      </c>
      <c r="V124">
        <f>IF(Datos!A124="","",(O124/SUM(O$2:O$301))*LN(O124/SUM(O$2:O$301)))</f>
        <v/>
      </c>
      <c r="X124">
        <f>IF(Datos!A124="","",IF(SUMSQ(C$2:C$301)=0,0,C124/SQRT(SUMSQ(C$2:C$301)))*$BE$2)</f>
        <v/>
      </c>
      <c r="Y124">
        <f>IF(Datos!A124="","",IF(SUMSQ(D$2:D$301)=0,0,D124/SQRT(SUMSQ(D$2:D$301)))*$BE$3)</f>
        <v/>
      </c>
      <c r="Z124">
        <f>IF(Datos!A124="","",IF(SUMSQ(E$2:E$301)=0,0,E124/SQRT(SUMSQ(E$2:E$301)))*$BE$4)</f>
        <v/>
      </c>
      <c r="AA124">
        <f>IF(Datos!A124="","",IF(SUMSQ(F$2:F$301)=0,0,F124/SQRT(SUMSQ(F$2:F$301)))*$BE$5)</f>
        <v/>
      </c>
      <c r="AB124">
        <f>IF(Datos!A124="","",IF(SUMSQ(G$2:G$301)=0,0,G124/SQRT(SUMSQ(G$2:G$301)))*$BE$6)</f>
        <v/>
      </c>
      <c r="AC124">
        <f>IF(Datos!A124="","",IF(SUMSQ(H$2:H$301)=0,0,H124/SQRT(SUMSQ(H$2:H$301)))*$BE$7)</f>
        <v/>
      </c>
      <c r="AE124">
        <f>IF(Datos!A124="","",SQRT(SUMXMY2(X124:AC124,$X$303:$AC$303)))</f>
        <v/>
      </c>
      <c r="AF124">
        <f>IF(Datos!A124="","",SQRT(SUMXMY2(X124:AC124,$X$304:$AC$304)))</f>
        <v/>
      </c>
      <c r="AG124" s="11">
        <f>IF(Datos!A124="","",IF(AE124+AF124&lt;0.000000001,0.5,AF124/(AE124+AF124)))</f>
        <v/>
      </c>
      <c r="AH124">
        <f>IF(Datos!A124="","",AG124*MAX(C124*D124,1))</f>
        <v/>
      </c>
      <c r="AI124">
        <f>IF(Datos!A124="","",SUMIF($AH$2:$AH$301,"&gt;="&amp;AH124,$AH$2:$AH$301)/SUM($AH$2:$AH$301))</f>
        <v/>
      </c>
      <c r="AJ124" s="12">
        <f>IF(Datos!A124="","",IF(AI124&lt;=Parametros!$B$13,"A",IF(AI124&lt;=Parametros!$B$14,"B","C")))</f>
        <v/>
      </c>
      <c r="AK124" s="13">
        <f>IF(Datos!A124="","",VLOOKUP(AJ124,Parametros!$A$8:$C$10,2,FALSE))</f>
        <v/>
      </c>
      <c r="AL124">
        <f>IF(Datos!A124="","",VLOOKUP(AJ124,Parametros!$A$8:$C$10,3,FALSE))</f>
        <v/>
      </c>
      <c r="AM124">
        <f>IF(Datos!A124="","",NORMSINV(AK124))</f>
        <v/>
      </c>
      <c r="AN124">
        <f>IF(Datos!A124="","",D124/Parametros!$B$4)</f>
        <v/>
      </c>
      <c r="AO124">
        <f>IF(Datos!A124="","",MAX(0,ROUNDUP(AM124*(AN124*Parametros!$B$3)*SQRT((AL124+E124)),0)))</f>
        <v/>
      </c>
      <c r="AP124">
        <f>IF(Datos!A124="","",MAX(1,ROUNDUP(AN124*(AL124+E124)+AM124*(AN124*Parametros!$B$3)*SQRT((AL124+E124)),0)))</f>
        <v/>
      </c>
      <c r="AQ124">
        <f>IF(Datos!A124="","",IF(Datos!J124="","",Datos!J124))</f>
        <v/>
      </c>
      <c r="AR124">
        <f>IF(OR(Datos!A124="",AQ124=""),"",MAX(0,AQ124-AP124))</f>
        <v/>
      </c>
      <c r="AS124" s="10">
        <f>IF(OR(Datos!A124="",AQ124=""),"",AR124*C124)</f>
        <v/>
      </c>
      <c r="AT124" s="12">
        <f>IF(OR(Datos!A124="",AQ124=""),"",IF(AQ124&lt;AO124,"SI",""))</f>
        <v/>
      </c>
      <c r="AU124">
        <f>IF(Datos!A124="","",IF(AT124="SI","Reponer ahora",IF(AND(AQ124&lt;&gt;"",AR124&gt;0),"Bajar "&amp;TEXT(AR124,"#,##0")&amp;" un.","En rango")))</f>
        <v/>
      </c>
    </row>
    <row r="125">
      <c r="A125">
        <f>IF(Datos!A125="","",Datos!A125)</f>
        <v/>
      </c>
      <c r="B125">
        <f>IF(Datos!A125="","",Datos!B125)</f>
        <v/>
      </c>
      <c r="C125">
        <f>IF(Datos!A125="","",IFERROR(MAX(0,N(Datos!D125)),0))</f>
        <v/>
      </c>
      <c r="D125">
        <f>IF(Datos!A125="","",IFERROR(MAX(0,N(Datos!E125)),0))</f>
        <v/>
      </c>
      <c r="E125">
        <f>IF(Datos!A125="","",IFERROR(MAX(0,N(Datos!F125)),0))</f>
        <v/>
      </c>
      <c r="F125">
        <f>IF(Datos!A125="","",IFERROR(MAX(0,N(Datos!G125)),0))</f>
        <v/>
      </c>
      <c r="G125">
        <f>IF(Datos!A125="","",IFERROR(MAX(0,N(Datos!H125)),0))</f>
        <v/>
      </c>
      <c r="H125">
        <f>IF(Datos!A125="","",IFERROR(MAX(0,N(Datos!I125)),0))</f>
        <v/>
      </c>
      <c r="J125">
        <f>IF(Datos!A125="","",IF(MAX(C$2:C$301)-MIN(C$2:C$301)&lt;0.000000001,0.5,(C125-MIN(C$2:C$301))/(MAX(C$2:C$301)-MIN(C$2:C$301)))+0.000000001)</f>
        <v/>
      </c>
      <c r="K125">
        <f>IF(Datos!A125="","",IF(MAX(D$2:D$301)-MIN(D$2:D$301)&lt;0.000000001,0.5,(D125-MIN(D$2:D$301))/(MAX(D$2:D$301)-MIN(D$2:D$301)))+0.000000001)</f>
        <v/>
      </c>
      <c r="L125">
        <f>IF(Datos!A125="","",IF(MAX(E$2:E$301)-MIN(E$2:E$301)&lt;0.000000001,0.5,(E125-MIN(E$2:E$301))/(MAX(E$2:E$301)-MIN(E$2:E$301)))+0.000000001)</f>
        <v/>
      </c>
      <c r="M125">
        <f>IF(Datos!A125="","",IF(MAX(F$2:F$301)-MIN(F$2:F$301)&lt;0.000000001,0.5,(F125-MIN(F$2:F$301))/(MAX(F$2:F$301)-MIN(F$2:F$301)))+0.000000001)</f>
        <v/>
      </c>
      <c r="N125">
        <f>IF(Datos!A125="","",IF(MAX(G$2:G$301)-MIN(G$2:G$301)&lt;0.000000001,0.5,(G125-MIN(G$2:G$301))/(MAX(G$2:G$301)-MIN(G$2:G$301)))+0.000000001)</f>
        <v/>
      </c>
      <c r="O125">
        <f>IF(Datos!A125="","",IF(MAX(H$2:H$301)-MIN(H$2:H$301)&lt;0.000000001,0.5,(H125-MIN(H$2:H$301))/(MAX(H$2:H$301)-MIN(H$2:H$301)))+0.000000001)</f>
        <v/>
      </c>
      <c r="Q125">
        <f>IF(Datos!A125="","",(J125/SUM(J$2:J$301))*LN(J125/SUM(J$2:J$301)))</f>
        <v/>
      </c>
      <c r="R125">
        <f>IF(Datos!A125="","",(K125/SUM(K$2:K$301))*LN(K125/SUM(K$2:K$301)))</f>
        <v/>
      </c>
      <c r="S125">
        <f>IF(Datos!A125="","",(L125/SUM(L$2:L$301))*LN(L125/SUM(L$2:L$301)))</f>
        <v/>
      </c>
      <c r="T125">
        <f>IF(Datos!A125="","",(M125/SUM(M$2:M$301))*LN(M125/SUM(M$2:M$301)))</f>
        <v/>
      </c>
      <c r="U125">
        <f>IF(Datos!A125="","",(N125/SUM(N$2:N$301))*LN(N125/SUM(N$2:N$301)))</f>
        <v/>
      </c>
      <c r="V125">
        <f>IF(Datos!A125="","",(O125/SUM(O$2:O$301))*LN(O125/SUM(O$2:O$301)))</f>
        <v/>
      </c>
      <c r="X125">
        <f>IF(Datos!A125="","",IF(SUMSQ(C$2:C$301)=0,0,C125/SQRT(SUMSQ(C$2:C$301)))*$BE$2)</f>
        <v/>
      </c>
      <c r="Y125">
        <f>IF(Datos!A125="","",IF(SUMSQ(D$2:D$301)=0,0,D125/SQRT(SUMSQ(D$2:D$301)))*$BE$3)</f>
        <v/>
      </c>
      <c r="Z125">
        <f>IF(Datos!A125="","",IF(SUMSQ(E$2:E$301)=0,0,E125/SQRT(SUMSQ(E$2:E$301)))*$BE$4)</f>
        <v/>
      </c>
      <c r="AA125">
        <f>IF(Datos!A125="","",IF(SUMSQ(F$2:F$301)=0,0,F125/SQRT(SUMSQ(F$2:F$301)))*$BE$5)</f>
        <v/>
      </c>
      <c r="AB125">
        <f>IF(Datos!A125="","",IF(SUMSQ(G$2:G$301)=0,0,G125/SQRT(SUMSQ(G$2:G$301)))*$BE$6)</f>
        <v/>
      </c>
      <c r="AC125">
        <f>IF(Datos!A125="","",IF(SUMSQ(H$2:H$301)=0,0,H125/SQRT(SUMSQ(H$2:H$301)))*$BE$7)</f>
        <v/>
      </c>
      <c r="AE125">
        <f>IF(Datos!A125="","",SQRT(SUMXMY2(X125:AC125,$X$303:$AC$303)))</f>
        <v/>
      </c>
      <c r="AF125">
        <f>IF(Datos!A125="","",SQRT(SUMXMY2(X125:AC125,$X$304:$AC$304)))</f>
        <v/>
      </c>
      <c r="AG125" s="11">
        <f>IF(Datos!A125="","",IF(AE125+AF125&lt;0.000000001,0.5,AF125/(AE125+AF125)))</f>
        <v/>
      </c>
      <c r="AH125">
        <f>IF(Datos!A125="","",AG125*MAX(C125*D125,1))</f>
        <v/>
      </c>
      <c r="AI125">
        <f>IF(Datos!A125="","",SUMIF($AH$2:$AH$301,"&gt;="&amp;AH125,$AH$2:$AH$301)/SUM($AH$2:$AH$301))</f>
        <v/>
      </c>
      <c r="AJ125" s="12">
        <f>IF(Datos!A125="","",IF(AI125&lt;=Parametros!$B$13,"A",IF(AI125&lt;=Parametros!$B$14,"B","C")))</f>
        <v/>
      </c>
      <c r="AK125" s="13">
        <f>IF(Datos!A125="","",VLOOKUP(AJ125,Parametros!$A$8:$C$10,2,FALSE))</f>
        <v/>
      </c>
      <c r="AL125">
        <f>IF(Datos!A125="","",VLOOKUP(AJ125,Parametros!$A$8:$C$10,3,FALSE))</f>
        <v/>
      </c>
      <c r="AM125">
        <f>IF(Datos!A125="","",NORMSINV(AK125))</f>
        <v/>
      </c>
      <c r="AN125">
        <f>IF(Datos!A125="","",D125/Parametros!$B$4)</f>
        <v/>
      </c>
      <c r="AO125">
        <f>IF(Datos!A125="","",MAX(0,ROUNDUP(AM125*(AN125*Parametros!$B$3)*SQRT((AL125+E125)),0)))</f>
        <v/>
      </c>
      <c r="AP125">
        <f>IF(Datos!A125="","",MAX(1,ROUNDUP(AN125*(AL125+E125)+AM125*(AN125*Parametros!$B$3)*SQRT((AL125+E125)),0)))</f>
        <v/>
      </c>
      <c r="AQ125">
        <f>IF(Datos!A125="","",IF(Datos!J125="","",Datos!J125))</f>
        <v/>
      </c>
      <c r="AR125">
        <f>IF(OR(Datos!A125="",AQ125=""),"",MAX(0,AQ125-AP125))</f>
        <v/>
      </c>
      <c r="AS125" s="10">
        <f>IF(OR(Datos!A125="",AQ125=""),"",AR125*C125)</f>
        <v/>
      </c>
      <c r="AT125" s="12">
        <f>IF(OR(Datos!A125="",AQ125=""),"",IF(AQ125&lt;AO125,"SI",""))</f>
        <v/>
      </c>
      <c r="AU125">
        <f>IF(Datos!A125="","",IF(AT125="SI","Reponer ahora",IF(AND(AQ125&lt;&gt;"",AR125&gt;0),"Bajar "&amp;TEXT(AR125,"#,##0")&amp;" un.","En rango")))</f>
        <v/>
      </c>
    </row>
    <row r="126">
      <c r="A126">
        <f>IF(Datos!A126="","",Datos!A126)</f>
        <v/>
      </c>
      <c r="B126">
        <f>IF(Datos!A126="","",Datos!B126)</f>
        <v/>
      </c>
      <c r="C126">
        <f>IF(Datos!A126="","",IFERROR(MAX(0,N(Datos!D126)),0))</f>
        <v/>
      </c>
      <c r="D126">
        <f>IF(Datos!A126="","",IFERROR(MAX(0,N(Datos!E126)),0))</f>
        <v/>
      </c>
      <c r="E126">
        <f>IF(Datos!A126="","",IFERROR(MAX(0,N(Datos!F126)),0))</f>
        <v/>
      </c>
      <c r="F126">
        <f>IF(Datos!A126="","",IFERROR(MAX(0,N(Datos!G126)),0))</f>
        <v/>
      </c>
      <c r="G126">
        <f>IF(Datos!A126="","",IFERROR(MAX(0,N(Datos!H126)),0))</f>
        <v/>
      </c>
      <c r="H126">
        <f>IF(Datos!A126="","",IFERROR(MAX(0,N(Datos!I126)),0))</f>
        <v/>
      </c>
      <c r="J126">
        <f>IF(Datos!A126="","",IF(MAX(C$2:C$301)-MIN(C$2:C$301)&lt;0.000000001,0.5,(C126-MIN(C$2:C$301))/(MAX(C$2:C$301)-MIN(C$2:C$301)))+0.000000001)</f>
        <v/>
      </c>
      <c r="K126">
        <f>IF(Datos!A126="","",IF(MAX(D$2:D$301)-MIN(D$2:D$301)&lt;0.000000001,0.5,(D126-MIN(D$2:D$301))/(MAX(D$2:D$301)-MIN(D$2:D$301)))+0.000000001)</f>
        <v/>
      </c>
      <c r="L126">
        <f>IF(Datos!A126="","",IF(MAX(E$2:E$301)-MIN(E$2:E$301)&lt;0.000000001,0.5,(E126-MIN(E$2:E$301))/(MAX(E$2:E$301)-MIN(E$2:E$301)))+0.000000001)</f>
        <v/>
      </c>
      <c r="M126">
        <f>IF(Datos!A126="","",IF(MAX(F$2:F$301)-MIN(F$2:F$301)&lt;0.000000001,0.5,(F126-MIN(F$2:F$301))/(MAX(F$2:F$301)-MIN(F$2:F$301)))+0.000000001)</f>
        <v/>
      </c>
      <c r="N126">
        <f>IF(Datos!A126="","",IF(MAX(G$2:G$301)-MIN(G$2:G$301)&lt;0.000000001,0.5,(G126-MIN(G$2:G$301))/(MAX(G$2:G$301)-MIN(G$2:G$301)))+0.000000001)</f>
        <v/>
      </c>
      <c r="O126">
        <f>IF(Datos!A126="","",IF(MAX(H$2:H$301)-MIN(H$2:H$301)&lt;0.000000001,0.5,(H126-MIN(H$2:H$301))/(MAX(H$2:H$301)-MIN(H$2:H$301)))+0.000000001)</f>
        <v/>
      </c>
      <c r="Q126">
        <f>IF(Datos!A126="","",(J126/SUM(J$2:J$301))*LN(J126/SUM(J$2:J$301)))</f>
        <v/>
      </c>
      <c r="R126">
        <f>IF(Datos!A126="","",(K126/SUM(K$2:K$301))*LN(K126/SUM(K$2:K$301)))</f>
        <v/>
      </c>
      <c r="S126">
        <f>IF(Datos!A126="","",(L126/SUM(L$2:L$301))*LN(L126/SUM(L$2:L$301)))</f>
        <v/>
      </c>
      <c r="T126">
        <f>IF(Datos!A126="","",(M126/SUM(M$2:M$301))*LN(M126/SUM(M$2:M$301)))</f>
        <v/>
      </c>
      <c r="U126">
        <f>IF(Datos!A126="","",(N126/SUM(N$2:N$301))*LN(N126/SUM(N$2:N$301)))</f>
        <v/>
      </c>
      <c r="V126">
        <f>IF(Datos!A126="","",(O126/SUM(O$2:O$301))*LN(O126/SUM(O$2:O$301)))</f>
        <v/>
      </c>
      <c r="X126">
        <f>IF(Datos!A126="","",IF(SUMSQ(C$2:C$301)=0,0,C126/SQRT(SUMSQ(C$2:C$301)))*$BE$2)</f>
        <v/>
      </c>
      <c r="Y126">
        <f>IF(Datos!A126="","",IF(SUMSQ(D$2:D$301)=0,0,D126/SQRT(SUMSQ(D$2:D$301)))*$BE$3)</f>
        <v/>
      </c>
      <c r="Z126">
        <f>IF(Datos!A126="","",IF(SUMSQ(E$2:E$301)=0,0,E126/SQRT(SUMSQ(E$2:E$301)))*$BE$4)</f>
        <v/>
      </c>
      <c r="AA126">
        <f>IF(Datos!A126="","",IF(SUMSQ(F$2:F$301)=0,0,F126/SQRT(SUMSQ(F$2:F$301)))*$BE$5)</f>
        <v/>
      </c>
      <c r="AB126">
        <f>IF(Datos!A126="","",IF(SUMSQ(G$2:G$301)=0,0,G126/SQRT(SUMSQ(G$2:G$301)))*$BE$6)</f>
        <v/>
      </c>
      <c r="AC126">
        <f>IF(Datos!A126="","",IF(SUMSQ(H$2:H$301)=0,0,H126/SQRT(SUMSQ(H$2:H$301)))*$BE$7)</f>
        <v/>
      </c>
      <c r="AE126">
        <f>IF(Datos!A126="","",SQRT(SUMXMY2(X126:AC126,$X$303:$AC$303)))</f>
        <v/>
      </c>
      <c r="AF126">
        <f>IF(Datos!A126="","",SQRT(SUMXMY2(X126:AC126,$X$304:$AC$304)))</f>
        <v/>
      </c>
      <c r="AG126" s="11">
        <f>IF(Datos!A126="","",IF(AE126+AF126&lt;0.000000001,0.5,AF126/(AE126+AF126)))</f>
        <v/>
      </c>
      <c r="AH126">
        <f>IF(Datos!A126="","",AG126*MAX(C126*D126,1))</f>
        <v/>
      </c>
      <c r="AI126">
        <f>IF(Datos!A126="","",SUMIF($AH$2:$AH$301,"&gt;="&amp;AH126,$AH$2:$AH$301)/SUM($AH$2:$AH$301))</f>
        <v/>
      </c>
      <c r="AJ126" s="12">
        <f>IF(Datos!A126="","",IF(AI126&lt;=Parametros!$B$13,"A",IF(AI126&lt;=Parametros!$B$14,"B","C")))</f>
        <v/>
      </c>
      <c r="AK126" s="13">
        <f>IF(Datos!A126="","",VLOOKUP(AJ126,Parametros!$A$8:$C$10,2,FALSE))</f>
        <v/>
      </c>
      <c r="AL126">
        <f>IF(Datos!A126="","",VLOOKUP(AJ126,Parametros!$A$8:$C$10,3,FALSE))</f>
        <v/>
      </c>
      <c r="AM126">
        <f>IF(Datos!A126="","",NORMSINV(AK126))</f>
        <v/>
      </c>
      <c r="AN126">
        <f>IF(Datos!A126="","",D126/Parametros!$B$4)</f>
        <v/>
      </c>
      <c r="AO126">
        <f>IF(Datos!A126="","",MAX(0,ROUNDUP(AM126*(AN126*Parametros!$B$3)*SQRT((AL126+E126)),0)))</f>
        <v/>
      </c>
      <c r="AP126">
        <f>IF(Datos!A126="","",MAX(1,ROUNDUP(AN126*(AL126+E126)+AM126*(AN126*Parametros!$B$3)*SQRT((AL126+E126)),0)))</f>
        <v/>
      </c>
      <c r="AQ126">
        <f>IF(Datos!A126="","",IF(Datos!J126="","",Datos!J126))</f>
        <v/>
      </c>
      <c r="AR126">
        <f>IF(OR(Datos!A126="",AQ126=""),"",MAX(0,AQ126-AP126))</f>
        <v/>
      </c>
      <c r="AS126" s="10">
        <f>IF(OR(Datos!A126="",AQ126=""),"",AR126*C126)</f>
        <v/>
      </c>
      <c r="AT126" s="12">
        <f>IF(OR(Datos!A126="",AQ126=""),"",IF(AQ126&lt;AO126,"SI",""))</f>
        <v/>
      </c>
      <c r="AU126">
        <f>IF(Datos!A126="","",IF(AT126="SI","Reponer ahora",IF(AND(AQ126&lt;&gt;"",AR126&gt;0),"Bajar "&amp;TEXT(AR126,"#,##0")&amp;" un.","En rango")))</f>
        <v/>
      </c>
    </row>
    <row r="127">
      <c r="A127">
        <f>IF(Datos!A127="","",Datos!A127)</f>
        <v/>
      </c>
      <c r="B127">
        <f>IF(Datos!A127="","",Datos!B127)</f>
        <v/>
      </c>
      <c r="C127">
        <f>IF(Datos!A127="","",IFERROR(MAX(0,N(Datos!D127)),0))</f>
        <v/>
      </c>
      <c r="D127">
        <f>IF(Datos!A127="","",IFERROR(MAX(0,N(Datos!E127)),0))</f>
        <v/>
      </c>
      <c r="E127">
        <f>IF(Datos!A127="","",IFERROR(MAX(0,N(Datos!F127)),0))</f>
        <v/>
      </c>
      <c r="F127">
        <f>IF(Datos!A127="","",IFERROR(MAX(0,N(Datos!G127)),0))</f>
        <v/>
      </c>
      <c r="G127">
        <f>IF(Datos!A127="","",IFERROR(MAX(0,N(Datos!H127)),0))</f>
        <v/>
      </c>
      <c r="H127">
        <f>IF(Datos!A127="","",IFERROR(MAX(0,N(Datos!I127)),0))</f>
        <v/>
      </c>
      <c r="J127">
        <f>IF(Datos!A127="","",IF(MAX(C$2:C$301)-MIN(C$2:C$301)&lt;0.000000001,0.5,(C127-MIN(C$2:C$301))/(MAX(C$2:C$301)-MIN(C$2:C$301)))+0.000000001)</f>
        <v/>
      </c>
      <c r="K127">
        <f>IF(Datos!A127="","",IF(MAX(D$2:D$301)-MIN(D$2:D$301)&lt;0.000000001,0.5,(D127-MIN(D$2:D$301))/(MAX(D$2:D$301)-MIN(D$2:D$301)))+0.000000001)</f>
        <v/>
      </c>
      <c r="L127">
        <f>IF(Datos!A127="","",IF(MAX(E$2:E$301)-MIN(E$2:E$301)&lt;0.000000001,0.5,(E127-MIN(E$2:E$301))/(MAX(E$2:E$301)-MIN(E$2:E$301)))+0.000000001)</f>
        <v/>
      </c>
      <c r="M127">
        <f>IF(Datos!A127="","",IF(MAX(F$2:F$301)-MIN(F$2:F$301)&lt;0.000000001,0.5,(F127-MIN(F$2:F$301))/(MAX(F$2:F$301)-MIN(F$2:F$301)))+0.000000001)</f>
        <v/>
      </c>
      <c r="N127">
        <f>IF(Datos!A127="","",IF(MAX(G$2:G$301)-MIN(G$2:G$301)&lt;0.000000001,0.5,(G127-MIN(G$2:G$301))/(MAX(G$2:G$301)-MIN(G$2:G$301)))+0.000000001)</f>
        <v/>
      </c>
      <c r="O127">
        <f>IF(Datos!A127="","",IF(MAX(H$2:H$301)-MIN(H$2:H$301)&lt;0.000000001,0.5,(H127-MIN(H$2:H$301))/(MAX(H$2:H$301)-MIN(H$2:H$301)))+0.000000001)</f>
        <v/>
      </c>
      <c r="Q127">
        <f>IF(Datos!A127="","",(J127/SUM(J$2:J$301))*LN(J127/SUM(J$2:J$301)))</f>
        <v/>
      </c>
      <c r="R127">
        <f>IF(Datos!A127="","",(K127/SUM(K$2:K$301))*LN(K127/SUM(K$2:K$301)))</f>
        <v/>
      </c>
      <c r="S127">
        <f>IF(Datos!A127="","",(L127/SUM(L$2:L$301))*LN(L127/SUM(L$2:L$301)))</f>
        <v/>
      </c>
      <c r="T127">
        <f>IF(Datos!A127="","",(M127/SUM(M$2:M$301))*LN(M127/SUM(M$2:M$301)))</f>
        <v/>
      </c>
      <c r="U127">
        <f>IF(Datos!A127="","",(N127/SUM(N$2:N$301))*LN(N127/SUM(N$2:N$301)))</f>
        <v/>
      </c>
      <c r="V127">
        <f>IF(Datos!A127="","",(O127/SUM(O$2:O$301))*LN(O127/SUM(O$2:O$301)))</f>
        <v/>
      </c>
      <c r="X127">
        <f>IF(Datos!A127="","",IF(SUMSQ(C$2:C$301)=0,0,C127/SQRT(SUMSQ(C$2:C$301)))*$BE$2)</f>
        <v/>
      </c>
      <c r="Y127">
        <f>IF(Datos!A127="","",IF(SUMSQ(D$2:D$301)=0,0,D127/SQRT(SUMSQ(D$2:D$301)))*$BE$3)</f>
        <v/>
      </c>
      <c r="Z127">
        <f>IF(Datos!A127="","",IF(SUMSQ(E$2:E$301)=0,0,E127/SQRT(SUMSQ(E$2:E$301)))*$BE$4)</f>
        <v/>
      </c>
      <c r="AA127">
        <f>IF(Datos!A127="","",IF(SUMSQ(F$2:F$301)=0,0,F127/SQRT(SUMSQ(F$2:F$301)))*$BE$5)</f>
        <v/>
      </c>
      <c r="AB127">
        <f>IF(Datos!A127="","",IF(SUMSQ(G$2:G$301)=0,0,G127/SQRT(SUMSQ(G$2:G$301)))*$BE$6)</f>
        <v/>
      </c>
      <c r="AC127">
        <f>IF(Datos!A127="","",IF(SUMSQ(H$2:H$301)=0,0,H127/SQRT(SUMSQ(H$2:H$301)))*$BE$7)</f>
        <v/>
      </c>
      <c r="AE127">
        <f>IF(Datos!A127="","",SQRT(SUMXMY2(X127:AC127,$X$303:$AC$303)))</f>
        <v/>
      </c>
      <c r="AF127">
        <f>IF(Datos!A127="","",SQRT(SUMXMY2(X127:AC127,$X$304:$AC$304)))</f>
        <v/>
      </c>
      <c r="AG127" s="11">
        <f>IF(Datos!A127="","",IF(AE127+AF127&lt;0.000000001,0.5,AF127/(AE127+AF127)))</f>
        <v/>
      </c>
      <c r="AH127">
        <f>IF(Datos!A127="","",AG127*MAX(C127*D127,1))</f>
        <v/>
      </c>
      <c r="AI127">
        <f>IF(Datos!A127="","",SUMIF($AH$2:$AH$301,"&gt;="&amp;AH127,$AH$2:$AH$301)/SUM($AH$2:$AH$301))</f>
        <v/>
      </c>
      <c r="AJ127" s="12">
        <f>IF(Datos!A127="","",IF(AI127&lt;=Parametros!$B$13,"A",IF(AI127&lt;=Parametros!$B$14,"B","C")))</f>
        <v/>
      </c>
      <c r="AK127" s="13">
        <f>IF(Datos!A127="","",VLOOKUP(AJ127,Parametros!$A$8:$C$10,2,FALSE))</f>
        <v/>
      </c>
      <c r="AL127">
        <f>IF(Datos!A127="","",VLOOKUP(AJ127,Parametros!$A$8:$C$10,3,FALSE))</f>
        <v/>
      </c>
      <c r="AM127">
        <f>IF(Datos!A127="","",NORMSINV(AK127))</f>
        <v/>
      </c>
      <c r="AN127">
        <f>IF(Datos!A127="","",D127/Parametros!$B$4)</f>
        <v/>
      </c>
      <c r="AO127">
        <f>IF(Datos!A127="","",MAX(0,ROUNDUP(AM127*(AN127*Parametros!$B$3)*SQRT((AL127+E127)),0)))</f>
        <v/>
      </c>
      <c r="AP127">
        <f>IF(Datos!A127="","",MAX(1,ROUNDUP(AN127*(AL127+E127)+AM127*(AN127*Parametros!$B$3)*SQRT((AL127+E127)),0)))</f>
        <v/>
      </c>
      <c r="AQ127">
        <f>IF(Datos!A127="","",IF(Datos!J127="","",Datos!J127))</f>
        <v/>
      </c>
      <c r="AR127">
        <f>IF(OR(Datos!A127="",AQ127=""),"",MAX(0,AQ127-AP127))</f>
        <v/>
      </c>
      <c r="AS127" s="10">
        <f>IF(OR(Datos!A127="",AQ127=""),"",AR127*C127)</f>
        <v/>
      </c>
      <c r="AT127" s="12">
        <f>IF(OR(Datos!A127="",AQ127=""),"",IF(AQ127&lt;AO127,"SI",""))</f>
        <v/>
      </c>
      <c r="AU127">
        <f>IF(Datos!A127="","",IF(AT127="SI","Reponer ahora",IF(AND(AQ127&lt;&gt;"",AR127&gt;0),"Bajar "&amp;TEXT(AR127,"#,##0")&amp;" un.","En rango")))</f>
        <v/>
      </c>
    </row>
    <row r="128">
      <c r="A128">
        <f>IF(Datos!A128="","",Datos!A128)</f>
        <v/>
      </c>
      <c r="B128">
        <f>IF(Datos!A128="","",Datos!B128)</f>
        <v/>
      </c>
      <c r="C128">
        <f>IF(Datos!A128="","",IFERROR(MAX(0,N(Datos!D128)),0))</f>
        <v/>
      </c>
      <c r="D128">
        <f>IF(Datos!A128="","",IFERROR(MAX(0,N(Datos!E128)),0))</f>
        <v/>
      </c>
      <c r="E128">
        <f>IF(Datos!A128="","",IFERROR(MAX(0,N(Datos!F128)),0))</f>
        <v/>
      </c>
      <c r="F128">
        <f>IF(Datos!A128="","",IFERROR(MAX(0,N(Datos!G128)),0))</f>
        <v/>
      </c>
      <c r="G128">
        <f>IF(Datos!A128="","",IFERROR(MAX(0,N(Datos!H128)),0))</f>
        <v/>
      </c>
      <c r="H128">
        <f>IF(Datos!A128="","",IFERROR(MAX(0,N(Datos!I128)),0))</f>
        <v/>
      </c>
      <c r="J128">
        <f>IF(Datos!A128="","",IF(MAX(C$2:C$301)-MIN(C$2:C$301)&lt;0.000000001,0.5,(C128-MIN(C$2:C$301))/(MAX(C$2:C$301)-MIN(C$2:C$301)))+0.000000001)</f>
        <v/>
      </c>
      <c r="K128">
        <f>IF(Datos!A128="","",IF(MAX(D$2:D$301)-MIN(D$2:D$301)&lt;0.000000001,0.5,(D128-MIN(D$2:D$301))/(MAX(D$2:D$301)-MIN(D$2:D$301)))+0.000000001)</f>
        <v/>
      </c>
      <c r="L128">
        <f>IF(Datos!A128="","",IF(MAX(E$2:E$301)-MIN(E$2:E$301)&lt;0.000000001,0.5,(E128-MIN(E$2:E$301))/(MAX(E$2:E$301)-MIN(E$2:E$301)))+0.000000001)</f>
        <v/>
      </c>
      <c r="M128">
        <f>IF(Datos!A128="","",IF(MAX(F$2:F$301)-MIN(F$2:F$301)&lt;0.000000001,0.5,(F128-MIN(F$2:F$301))/(MAX(F$2:F$301)-MIN(F$2:F$301)))+0.000000001)</f>
        <v/>
      </c>
      <c r="N128">
        <f>IF(Datos!A128="","",IF(MAX(G$2:G$301)-MIN(G$2:G$301)&lt;0.000000001,0.5,(G128-MIN(G$2:G$301))/(MAX(G$2:G$301)-MIN(G$2:G$301)))+0.000000001)</f>
        <v/>
      </c>
      <c r="O128">
        <f>IF(Datos!A128="","",IF(MAX(H$2:H$301)-MIN(H$2:H$301)&lt;0.000000001,0.5,(H128-MIN(H$2:H$301))/(MAX(H$2:H$301)-MIN(H$2:H$301)))+0.000000001)</f>
        <v/>
      </c>
      <c r="Q128">
        <f>IF(Datos!A128="","",(J128/SUM(J$2:J$301))*LN(J128/SUM(J$2:J$301)))</f>
        <v/>
      </c>
      <c r="R128">
        <f>IF(Datos!A128="","",(K128/SUM(K$2:K$301))*LN(K128/SUM(K$2:K$301)))</f>
        <v/>
      </c>
      <c r="S128">
        <f>IF(Datos!A128="","",(L128/SUM(L$2:L$301))*LN(L128/SUM(L$2:L$301)))</f>
        <v/>
      </c>
      <c r="T128">
        <f>IF(Datos!A128="","",(M128/SUM(M$2:M$301))*LN(M128/SUM(M$2:M$301)))</f>
        <v/>
      </c>
      <c r="U128">
        <f>IF(Datos!A128="","",(N128/SUM(N$2:N$301))*LN(N128/SUM(N$2:N$301)))</f>
        <v/>
      </c>
      <c r="V128">
        <f>IF(Datos!A128="","",(O128/SUM(O$2:O$301))*LN(O128/SUM(O$2:O$301)))</f>
        <v/>
      </c>
      <c r="X128">
        <f>IF(Datos!A128="","",IF(SUMSQ(C$2:C$301)=0,0,C128/SQRT(SUMSQ(C$2:C$301)))*$BE$2)</f>
        <v/>
      </c>
      <c r="Y128">
        <f>IF(Datos!A128="","",IF(SUMSQ(D$2:D$301)=0,0,D128/SQRT(SUMSQ(D$2:D$301)))*$BE$3)</f>
        <v/>
      </c>
      <c r="Z128">
        <f>IF(Datos!A128="","",IF(SUMSQ(E$2:E$301)=0,0,E128/SQRT(SUMSQ(E$2:E$301)))*$BE$4)</f>
        <v/>
      </c>
      <c r="AA128">
        <f>IF(Datos!A128="","",IF(SUMSQ(F$2:F$301)=0,0,F128/SQRT(SUMSQ(F$2:F$301)))*$BE$5)</f>
        <v/>
      </c>
      <c r="AB128">
        <f>IF(Datos!A128="","",IF(SUMSQ(G$2:G$301)=0,0,G128/SQRT(SUMSQ(G$2:G$301)))*$BE$6)</f>
        <v/>
      </c>
      <c r="AC128">
        <f>IF(Datos!A128="","",IF(SUMSQ(H$2:H$301)=0,0,H128/SQRT(SUMSQ(H$2:H$301)))*$BE$7)</f>
        <v/>
      </c>
      <c r="AE128">
        <f>IF(Datos!A128="","",SQRT(SUMXMY2(X128:AC128,$X$303:$AC$303)))</f>
        <v/>
      </c>
      <c r="AF128">
        <f>IF(Datos!A128="","",SQRT(SUMXMY2(X128:AC128,$X$304:$AC$304)))</f>
        <v/>
      </c>
      <c r="AG128" s="11">
        <f>IF(Datos!A128="","",IF(AE128+AF128&lt;0.000000001,0.5,AF128/(AE128+AF128)))</f>
        <v/>
      </c>
      <c r="AH128">
        <f>IF(Datos!A128="","",AG128*MAX(C128*D128,1))</f>
        <v/>
      </c>
      <c r="AI128">
        <f>IF(Datos!A128="","",SUMIF($AH$2:$AH$301,"&gt;="&amp;AH128,$AH$2:$AH$301)/SUM($AH$2:$AH$301))</f>
        <v/>
      </c>
      <c r="AJ128" s="12">
        <f>IF(Datos!A128="","",IF(AI128&lt;=Parametros!$B$13,"A",IF(AI128&lt;=Parametros!$B$14,"B","C")))</f>
        <v/>
      </c>
      <c r="AK128" s="13">
        <f>IF(Datos!A128="","",VLOOKUP(AJ128,Parametros!$A$8:$C$10,2,FALSE))</f>
        <v/>
      </c>
      <c r="AL128">
        <f>IF(Datos!A128="","",VLOOKUP(AJ128,Parametros!$A$8:$C$10,3,FALSE))</f>
        <v/>
      </c>
      <c r="AM128">
        <f>IF(Datos!A128="","",NORMSINV(AK128))</f>
        <v/>
      </c>
      <c r="AN128">
        <f>IF(Datos!A128="","",D128/Parametros!$B$4)</f>
        <v/>
      </c>
      <c r="AO128">
        <f>IF(Datos!A128="","",MAX(0,ROUNDUP(AM128*(AN128*Parametros!$B$3)*SQRT((AL128+E128)),0)))</f>
        <v/>
      </c>
      <c r="AP128">
        <f>IF(Datos!A128="","",MAX(1,ROUNDUP(AN128*(AL128+E128)+AM128*(AN128*Parametros!$B$3)*SQRT((AL128+E128)),0)))</f>
        <v/>
      </c>
      <c r="AQ128">
        <f>IF(Datos!A128="","",IF(Datos!J128="","",Datos!J128))</f>
        <v/>
      </c>
      <c r="AR128">
        <f>IF(OR(Datos!A128="",AQ128=""),"",MAX(0,AQ128-AP128))</f>
        <v/>
      </c>
      <c r="AS128" s="10">
        <f>IF(OR(Datos!A128="",AQ128=""),"",AR128*C128)</f>
        <v/>
      </c>
      <c r="AT128" s="12">
        <f>IF(OR(Datos!A128="",AQ128=""),"",IF(AQ128&lt;AO128,"SI",""))</f>
        <v/>
      </c>
      <c r="AU128">
        <f>IF(Datos!A128="","",IF(AT128="SI","Reponer ahora",IF(AND(AQ128&lt;&gt;"",AR128&gt;0),"Bajar "&amp;TEXT(AR128,"#,##0")&amp;" un.","En rango")))</f>
        <v/>
      </c>
    </row>
    <row r="129">
      <c r="A129">
        <f>IF(Datos!A129="","",Datos!A129)</f>
        <v/>
      </c>
      <c r="B129">
        <f>IF(Datos!A129="","",Datos!B129)</f>
        <v/>
      </c>
      <c r="C129">
        <f>IF(Datos!A129="","",IFERROR(MAX(0,N(Datos!D129)),0))</f>
        <v/>
      </c>
      <c r="D129">
        <f>IF(Datos!A129="","",IFERROR(MAX(0,N(Datos!E129)),0))</f>
        <v/>
      </c>
      <c r="E129">
        <f>IF(Datos!A129="","",IFERROR(MAX(0,N(Datos!F129)),0))</f>
        <v/>
      </c>
      <c r="F129">
        <f>IF(Datos!A129="","",IFERROR(MAX(0,N(Datos!G129)),0))</f>
        <v/>
      </c>
      <c r="G129">
        <f>IF(Datos!A129="","",IFERROR(MAX(0,N(Datos!H129)),0))</f>
        <v/>
      </c>
      <c r="H129">
        <f>IF(Datos!A129="","",IFERROR(MAX(0,N(Datos!I129)),0))</f>
        <v/>
      </c>
      <c r="J129">
        <f>IF(Datos!A129="","",IF(MAX(C$2:C$301)-MIN(C$2:C$301)&lt;0.000000001,0.5,(C129-MIN(C$2:C$301))/(MAX(C$2:C$301)-MIN(C$2:C$301)))+0.000000001)</f>
        <v/>
      </c>
      <c r="K129">
        <f>IF(Datos!A129="","",IF(MAX(D$2:D$301)-MIN(D$2:D$301)&lt;0.000000001,0.5,(D129-MIN(D$2:D$301))/(MAX(D$2:D$301)-MIN(D$2:D$301)))+0.000000001)</f>
        <v/>
      </c>
      <c r="L129">
        <f>IF(Datos!A129="","",IF(MAX(E$2:E$301)-MIN(E$2:E$301)&lt;0.000000001,0.5,(E129-MIN(E$2:E$301))/(MAX(E$2:E$301)-MIN(E$2:E$301)))+0.000000001)</f>
        <v/>
      </c>
      <c r="M129">
        <f>IF(Datos!A129="","",IF(MAX(F$2:F$301)-MIN(F$2:F$301)&lt;0.000000001,0.5,(F129-MIN(F$2:F$301))/(MAX(F$2:F$301)-MIN(F$2:F$301)))+0.000000001)</f>
        <v/>
      </c>
      <c r="N129">
        <f>IF(Datos!A129="","",IF(MAX(G$2:G$301)-MIN(G$2:G$301)&lt;0.000000001,0.5,(G129-MIN(G$2:G$301))/(MAX(G$2:G$301)-MIN(G$2:G$301)))+0.000000001)</f>
        <v/>
      </c>
      <c r="O129">
        <f>IF(Datos!A129="","",IF(MAX(H$2:H$301)-MIN(H$2:H$301)&lt;0.000000001,0.5,(H129-MIN(H$2:H$301))/(MAX(H$2:H$301)-MIN(H$2:H$301)))+0.000000001)</f>
        <v/>
      </c>
      <c r="Q129">
        <f>IF(Datos!A129="","",(J129/SUM(J$2:J$301))*LN(J129/SUM(J$2:J$301)))</f>
        <v/>
      </c>
      <c r="R129">
        <f>IF(Datos!A129="","",(K129/SUM(K$2:K$301))*LN(K129/SUM(K$2:K$301)))</f>
        <v/>
      </c>
      <c r="S129">
        <f>IF(Datos!A129="","",(L129/SUM(L$2:L$301))*LN(L129/SUM(L$2:L$301)))</f>
        <v/>
      </c>
      <c r="T129">
        <f>IF(Datos!A129="","",(M129/SUM(M$2:M$301))*LN(M129/SUM(M$2:M$301)))</f>
        <v/>
      </c>
      <c r="U129">
        <f>IF(Datos!A129="","",(N129/SUM(N$2:N$301))*LN(N129/SUM(N$2:N$301)))</f>
        <v/>
      </c>
      <c r="V129">
        <f>IF(Datos!A129="","",(O129/SUM(O$2:O$301))*LN(O129/SUM(O$2:O$301)))</f>
        <v/>
      </c>
      <c r="X129">
        <f>IF(Datos!A129="","",IF(SUMSQ(C$2:C$301)=0,0,C129/SQRT(SUMSQ(C$2:C$301)))*$BE$2)</f>
        <v/>
      </c>
      <c r="Y129">
        <f>IF(Datos!A129="","",IF(SUMSQ(D$2:D$301)=0,0,D129/SQRT(SUMSQ(D$2:D$301)))*$BE$3)</f>
        <v/>
      </c>
      <c r="Z129">
        <f>IF(Datos!A129="","",IF(SUMSQ(E$2:E$301)=0,0,E129/SQRT(SUMSQ(E$2:E$301)))*$BE$4)</f>
        <v/>
      </c>
      <c r="AA129">
        <f>IF(Datos!A129="","",IF(SUMSQ(F$2:F$301)=0,0,F129/SQRT(SUMSQ(F$2:F$301)))*$BE$5)</f>
        <v/>
      </c>
      <c r="AB129">
        <f>IF(Datos!A129="","",IF(SUMSQ(G$2:G$301)=0,0,G129/SQRT(SUMSQ(G$2:G$301)))*$BE$6)</f>
        <v/>
      </c>
      <c r="AC129">
        <f>IF(Datos!A129="","",IF(SUMSQ(H$2:H$301)=0,0,H129/SQRT(SUMSQ(H$2:H$301)))*$BE$7)</f>
        <v/>
      </c>
      <c r="AE129">
        <f>IF(Datos!A129="","",SQRT(SUMXMY2(X129:AC129,$X$303:$AC$303)))</f>
        <v/>
      </c>
      <c r="AF129">
        <f>IF(Datos!A129="","",SQRT(SUMXMY2(X129:AC129,$X$304:$AC$304)))</f>
        <v/>
      </c>
      <c r="AG129" s="11">
        <f>IF(Datos!A129="","",IF(AE129+AF129&lt;0.000000001,0.5,AF129/(AE129+AF129)))</f>
        <v/>
      </c>
      <c r="AH129">
        <f>IF(Datos!A129="","",AG129*MAX(C129*D129,1))</f>
        <v/>
      </c>
      <c r="AI129">
        <f>IF(Datos!A129="","",SUMIF($AH$2:$AH$301,"&gt;="&amp;AH129,$AH$2:$AH$301)/SUM($AH$2:$AH$301))</f>
        <v/>
      </c>
      <c r="AJ129" s="12">
        <f>IF(Datos!A129="","",IF(AI129&lt;=Parametros!$B$13,"A",IF(AI129&lt;=Parametros!$B$14,"B","C")))</f>
        <v/>
      </c>
      <c r="AK129" s="13">
        <f>IF(Datos!A129="","",VLOOKUP(AJ129,Parametros!$A$8:$C$10,2,FALSE))</f>
        <v/>
      </c>
      <c r="AL129">
        <f>IF(Datos!A129="","",VLOOKUP(AJ129,Parametros!$A$8:$C$10,3,FALSE))</f>
        <v/>
      </c>
      <c r="AM129">
        <f>IF(Datos!A129="","",NORMSINV(AK129))</f>
        <v/>
      </c>
      <c r="AN129">
        <f>IF(Datos!A129="","",D129/Parametros!$B$4)</f>
        <v/>
      </c>
      <c r="AO129">
        <f>IF(Datos!A129="","",MAX(0,ROUNDUP(AM129*(AN129*Parametros!$B$3)*SQRT((AL129+E129)),0)))</f>
        <v/>
      </c>
      <c r="AP129">
        <f>IF(Datos!A129="","",MAX(1,ROUNDUP(AN129*(AL129+E129)+AM129*(AN129*Parametros!$B$3)*SQRT((AL129+E129)),0)))</f>
        <v/>
      </c>
      <c r="AQ129">
        <f>IF(Datos!A129="","",IF(Datos!J129="","",Datos!J129))</f>
        <v/>
      </c>
      <c r="AR129">
        <f>IF(OR(Datos!A129="",AQ129=""),"",MAX(0,AQ129-AP129))</f>
        <v/>
      </c>
      <c r="AS129" s="10">
        <f>IF(OR(Datos!A129="",AQ129=""),"",AR129*C129)</f>
        <v/>
      </c>
      <c r="AT129" s="12">
        <f>IF(OR(Datos!A129="",AQ129=""),"",IF(AQ129&lt;AO129,"SI",""))</f>
        <v/>
      </c>
      <c r="AU129">
        <f>IF(Datos!A129="","",IF(AT129="SI","Reponer ahora",IF(AND(AQ129&lt;&gt;"",AR129&gt;0),"Bajar "&amp;TEXT(AR129,"#,##0")&amp;" un.","En rango")))</f>
        <v/>
      </c>
    </row>
    <row r="130">
      <c r="A130">
        <f>IF(Datos!A130="","",Datos!A130)</f>
        <v/>
      </c>
      <c r="B130">
        <f>IF(Datos!A130="","",Datos!B130)</f>
        <v/>
      </c>
      <c r="C130">
        <f>IF(Datos!A130="","",IFERROR(MAX(0,N(Datos!D130)),0))</f>
        <v/>
      </c>
      <c r="D130">
        <f>IF(Datos!A130="","",IFERROR(MAX(0,N(Datos!E130)),0))</f>
        <v/>
      </c>
      <c r="E130">
        <f>IF(Datos!A130="","",IFERROR(MAX(0,N(Datos!F130)),0))</f>
        <v/>
      </c>
      <c r="F130">
        <f>IF(Datos!A130="","",IFERROR(MAX(0,N(Datos!G130)),0))</f>
        <v/>
      </c>
      <c r="G130">
        <f>IF(Datos!A130="","",IFERROR(MAX(0,N(Datos!H130)),0))</f>
        <v/>
      </c>
      <c r="H130">
        <f>IF(Datos!A130="","",IFERROR(MAX(0,N(Datos!I130)),0))</f>
        <v/>
      </c>
      <c r="J130">
        <f>IF(Datos!A130="","",IF(MAX(C$2:C$301)-MIN(C$2:C$301)&lt;0.000000001,0.5,(C130-MIN(C$2:C$301))/(MAX(C$2:C$301)-MIN(C$2:C$301)))+0.000000001)</f>
        <v/>
      </c>
      <c r="K130">
        <f>IF(Datos!A130="","",IF(MAX(D$2:D$301)-MIN(D$2:D$301)&lt;0.000000001,0.5,(D130-MIN(D$2:D$301))/(MAX(D$2:D$301)-MIN(D$2:D$301)))+0.000000001)</f>
        <v/>
      </c>
      <c r="L130">
        <f>IF(Datos!A130="","",IF(MAX(E$2:E$301)-MIN(E$2:E$301)&lt;0.000000001,0.5,(E130-MIN(E$2:E$301))/(MAX(E$2:E$301)-MIN(E$2:E$301)))+0.000000001)</f>
        <v/>
      </c>
      <c r="M130">
        <f>IF(Datos!A130="","",IF(MAX(F$2:F$301)-MIN(F$2:F$301)&lt;0.000000001,0.5,(F130-MIN(F$2:F$301))/(MAX(F$2:F$301)-MIN(F$2:F$301)))+0.000000001)</f>
        <v/>
      </c>
      <c r="N130">
        <f>IF(Datos!A130="","",IF(MAX(G$2:G$301)-MIN(G$2:G$301)&lt;0.000000001,0.5,(G130-MIN(G$2:G$301))/(MAX(G$2:G$301)-MIN(G$2:G$301)))+0.000000001)</f>
        <v/>
      </c>
      <c r="O130">
        <f>IF(Datos!A130="","",IF(MAX(H$2:H$301)-MIN(H$2:H$301)&lt;0.000000001,0.5,(H130-MIN(H$2:H$301))/(MAX(H$2:H$301)-MIN(H$2:H$301)))+0.000000001)</f>
        <v/>
      </c>
      <c r="Q130">
        <f>IF(Datos!A130="","",(J130/SUM(J$2:J$301))*LN(J130/SUM(J$2:J$301)))</f>
        <v/>
      </c>
      <c r="R130">
        <f>IF(Datos!A130="","",(K130/SUM(K$2:K$301))*LN(K130/SUM(K$2:K$301)))</f>
        <v/>
      </c>
      <c r="S130">
        <f>IF(Datos!A130="","",(L130/SUM(L$2:L$301))*LN(L130/SUM(L$2:L$301)))</f>
        <v/>
      </c>
      <c r="T130">
        <f>IF(Datos!A130="","",(M130/SUM(M$2:M$301))*LN(M130/SUM(M$2:M$301)))</f>
        <v/>
      </c>
      <c r="U130">
        <f>IF(Datos!A130="","",(N130/SUM(N$2:N$301))*LN(N130/SUM(N$2:N$301)))</f>
        <v/>
      </c>
      <c r="V130">
        <f>IF(Datos!A130="","",(O130/SUM(O$2:O$301))*LN(O130/SUM(O$2:O$301)))</f>
        <v/>
      </c>
      <c r="X130">
        <f>IF(Datos!A130="","",IF(SUMSQ(C$2:C$301)=0,0,C130/SQRT(SUMSQ(C$2:C$301)))*$BE$2)</f>
        <v/>
      </c>
      <c r="Y130">
        <f>IF(Datos!A130="","",IF(SUMSQ(D$2:D$301)=0,0,D130/SQRT(SUMSQ(D$2:D$301)))*$BE$3)</f>
        <v/>
      </c>
      <c r="Z130">
        <f>IF(Datos!A130="","",IF(SUMSQ(E$2:E$301)=0,0,E130/SQRT(SUMSQ(E$2:E$301)))*$BE$4)</f>
        <v/>
      </c>
      <c r="AA130">
        <f>IF(Datos!A130="","",IF(SUMSQ(F$2:F$301)=0,0,F130/SQRT(SUMSQ(F$2:F$301)))*$BE$5)</f>
        <v/>
      </c>
      <c r="AB130">
        <f>IF(Datos!A130="","",IF(SUMSQ(G$2:G$301)=0,0,G130/SQRT(SUMSQ(G$2:G$301)))*$BE$6)</f>
        <v/>
      </c>
      <c r="AC130">
        <f>IF(Datos!A130="","",IF(SUMSQ(H$2:H$301)=0,0,H130/SQRT(SUMSQ(H$2:H$301)))*$BE$7)</f>
        <v/>
      </c>
      <c r="AE130">
        <f>IF(Datos!A130="","",SQRT(SUMXMY2(X130:AC130,$X$303:$AC$303)))</f>
        <v/>
      </c>
      <c r="AF130">
        <f>IF(Datos!A130="","",SQRT(SUMXMY2(X130:AC130,$X$304:$AC$304)))</f>
        <v/>
      </c>
      <c r="AG130" s="11">
        <f>IF(Datos!A130="","",IF(AE130+AF130&lt;0.000000001,0.5,AF130/(AE130+AF130)))</f>
        <v/>
      </c>
      <c r="AH130">
        <f>IF(Datos!A130="","",AG130*MAX(C130*D130,1))</f>
        <v/>
      </c>
      <c r="AI130">
        <f>IF(Datos!A130="","",SUMIF($AH$2:$AH$301,"&gt;="&amp;AH130,$AH$2:$AH$301)/SUM($AH$2:$AH$301))</f>
        <v/>
      </c>
      <c r="AJ130" s="12">
        <f>IF(Datos!A130="","",IF(AI130&lt;=Parametros!$B$13,"A",IF(AI130&lt;=Parametros!$B$14,"B","C")))</f>
        <v/>
      </c>
      <c r="AK130" s="13">
        <f>IF(Datos!A130="","",VLOOKUP(AJ130,Parametros!$A$8:$C$10,2,FALSE))</f>
        <v/>
      </c>
      <c r="AL130">
        <f>IF(Datos!A130="","",VLOOKUP(AJ130,Parametros!$A$8:$C$10,3,FALSE))</f>
        <v/>
      </c>
      <c r="AM130">
        <f>IF(Datos!A130="","",NORMSINV(AK130))</f>
        <v/>
      </c>
      <c r="AN130">
        <f>IF(Datos!A130="","",D130/Parametros!$B$4)</f>
        <v/>
      </c>
      <c r="AO130">
        <f>IF(Datos!A130="","",MAX(0,ROUNDUP(AM130*(AN130*Parametros!$B$3)*SQRT((AL130+E130)),0)))</f>
        <v/>
      </c>
      <c r="AP130">
        <f>IF(Datos!A130="","",MAX(1,ROUNDUP(AN130*(AL130+E130)+AM130*(AN130*Parametros!$B$3)*SQRT((AL130+E130)),0)))</f>
        <v/>
      </c>
      <c r="AQ130">
        <f>IF(Datos!A130="","",IF(Datos!J130="","",Datos!J130))</f>
        <v/>
      </c>
      <c r="AR130">
        <f>IF(OR(Datos!A130="",AQ130=""),"",MAX(0,AQ130-AP130))</f>
        <v/>
      </c>
      <c r="AS130" s="10">
        <f>IF(OR(Datos!A130="",AQ130=""),"",AR130*C130)</f>
        <v/>
      </c>
      <c r="AT130" s="12">
        <f>IF(OR(Datos!A130="",AQ130=""),"",IF(AQ130&lt;AO130,"SI",""))</f>
        <v/>
      </c>
      <c r="AU130">
        <f>IF(Datos!A130="","",IF(AT130="SI","Reponer ahora",IF(AND(AQ130&lt;&gt;"",AR130&gt;0),"Bajar "&amp;TEXT(AR130,"#,##0")&amp;" un.","En rango")))</f>
        <v/>
      </c>
    </row>
    <row r="131">
      <c r="A131">
        <f>IF(Datos!A131="","",Datos!A131)</f>
        <v/>
      </c>
      <c r="B131">
        <f>IF(Datos!A131="","",Datos!B131)</f>
        <v/>
      </c>
      <c r="C131">
        <f>IF(Datos!A131="","",IFERROR(MAX(0,N(Datos!D131)),0))</f>
        <v/>
      </c>
      <c r="D131">
        <f>IF(Datos!A131="","",IFERROR(MAX(0,N(Datos!E131)),0))</f>
        <v/>
      </c>
      <c r="E131">
        <f>IF(Datos!A131="","",IFERROR(MAX(0,N(Datos!F131)),0))</f>
        <v/>
      </c>
      <c r="F131">
        <f>IF(Datos!A131="","",IFERROR(MAX(0,N(Datos!G131)),0))</f>
        <v/>
      </c>
      <c r="G131">
        <f>IF(Datos!A131="","",IFERROR(MAX(0,N(Datos!H131)),0))</f>
        <v/>
      </c>
      <c r="H131">
        <f>IF(Datos!A131="","",IFERROR(MAX(0,N(Datos!I131)),0))</f>
        <v/>
      </c>
      <c r="J131">
        <f>IF(Datos!A131="","",IF(MAX(C$2:C$301)-MIN(C$2:C$301)&lt;0.000000001,0.5,(C131-MIN(C$2:C$301))/(MAX(C$2:C$301)-MIN(C$2:C$301)))+0.000000001)</f>
        <v/>
      </c>
      <c r="K131">
        <f>IF(Datos!A131="","",IF(MAX(D$2:D$301)-MIN(D$2:D$301)&lt;0.000000001,0.5,(D131-MIN(D$2:D$301))/(MAX(D$2:D$301)-MIN(D$2:D$301)))+0.000000001)</f>
        <v/>
      </c>
      <c r="L131">
        <f>IF(Datos!A131="","",IF(MAX(E$2:E$301)-MIN(E$2:E$301)&lt;0.000000001,0.5,(E131-MIN(E$2:E$301))/(MAX(E$2:E$301)-MIN(E$2:E$301)))+0.000000001)</f>
        <v/>
      </c>
      <c r="M131">
        <f>IF(Datos!A131="","",IF(MAX(F$2:F$301)-MIN(F$2:F$301)&lt;0.000000001,0.5,(F131-MIN(F$2:F$301))/(MAX(F$2:F$301)-MIN(F$2:F$301)))+0.000000001)</f>
        <v/>
      </c>
      <c r="N131">
        <f>IF(Datos!A131="","",IF(MAX(G$2:G$301)-MIN(G$2:G$301)&lt;0.000000001,0.5,(G131-MIN(G$2:G$301))/(MAX(G$2:G$301)-MIN(G$2:G$301)))+0.000000001)</f>
        <v/>
      </c>
      <c r="O131">
        <f>IF(Datos!A131="","",IF(MAX(H$2:H$301)-MIN(H$2:H$301)&lt;0.000000001,0.5,(H131-MIN(H$2:H$301))/(MAX(H$2:H$301)-MIN(H$2:H$301)))+0.000000001)</f>
        <v/>
      </c>
      <c r="Q131">
        <f>IF(Datos!A131="","",(J131/SUM(J$2:J$301))*LN(J131/SUM(J$2:J$301)))</f>
        <v/>
      </c>
      <c r="R131">
        <f>IF(Datos!A131="","",(K131/SUM(K$2:K$301))*LN(K131/SUM(K$2:K$301)))</f>
        <v/>
      </c>
      <c r="S131">
        <f>IF(Datos!A131="","",(L131/SUM(L$2:L$301))*LN(L131/SUM(L$2:L$301)))</f>
        <v/>
      </c>
      <c r="T131">
        <f>IF(Datos!A131="","",(M131/SUM(M$2:M$301))*LN(M131/SUM(M$2:M$301)))</f>
        <v/>
      </c>
      <c r="U131">
        <f>IF(Datos!A131="","",(N131/SUM(N$2:N$301))*LN(N131/SUM(N$2:N$301)))</f>
        <v/>
      </c>
      <c r="V131">
        <f>IF(Datos!A131="","",(O131/SUM(O$2:O$301))*LN(O131/SUM(O$2:O$301)))</f>
        <v/>
      </c>
      <c r="X131">
        <f>IF(Datos!A131="","",IF(SUMSQ(C$2:C$301)=0,0,C131/SQRT(SUMSQ(C$2:C$301)))*$BE$2)</f>
        <v/>
      </c>
      <c r="Y131">
        <f>IF(Datos!A131="","",IF(SUMSQ(D$2:D$301)=0,0,D131/SQRT(SUMSQ(D$2:D$301)))*$BE$3)</f>
        <v/>
      </c>
      <c r="Z131">
        <f>IF(Datos!A131="","",IF(SUMSQ(E$2:E$301)=0,0,E131/SQRT(SUMSQ(E$2:E$301)))*$BE$4)</f>
        <v/>
      </c>
      <c r="AA131">
        <f>IF(Datos!A131="","",IF(SUMSQ(F$2:F$301)=0,0,F131/SQRT(SUMSQ(F$2:F$301)))*$BE$5)</f>
        <v/>
      </c>
      <c r="AB131">
        <f>IF(Datos!A131="","",IF(SUMSQ(G$2:G$301)=0,0,G131/SQRT(SUMSQ(G$2:G$301)))*$BE$6)</f>
        <v/>
      </c>
      <c r="AC131">
        <f>IF(Datos!A131="","",IF(SUMSQ(H$2:H$301)=0,0,H131/SQRT(SUMSQ(H$2:H$301)))*$BE$7)</f>
        <v/>
      </c>
      <c r="AE131">
        <f>IF(Datos!A131="","",SQRT(SUMXMY2(X131:AC131,$X$303:$AC$303)))</f>
        <v/>
      </c>
      <c r="AF131">
        <f>IF(Datos!A131="","",SQRT(SUMXMY2(X131:AC131,$X$304:$AC$304)))</f>
        <v/>
      </c>
      <c r="AG131" s="11">
        <f>IF(Datos!A131="","",IF(AE131+AF131&lt;0.000000001,0.5,AF131/(AE131+AF131)))</f>
        <v/>
      </c>
      <c r="AH131">
        <f>IF(Datos!A131="","",AG131*MAX(C131*D131,1))</f>
        <v/>
      </c>
      <c r="AI131">
        <f>IF(Datos!A131="","",SUMIF($AH$2:$AH$301,"&gt;="&amp;AH131,$AH$2:$AH$301)/SUM($AH$2:$AH$301))</f>
        <v/>
      </c>
      <c r="AJ131" s="12">
        <f>IF(Datos!A131="","",IF(AI131&lt;=Parametros!$B$13,"A",IF(AI131&lt;=Parametros!$B$14,"B","C")))</f>
        <v/>
      </c>
      <c r="AK131" s="13">
        <f>IF(Datos!A131="","",VLOOKUP(AJ131,Parametros!$A$8:$C$10,2,FALSE))</f>
        <v/>
      </c>
      <c r="AL131">
        <f>IF(Datos!A131="","",VLOOKUP(AJ131,Parametros!$A$8:$C$10,3,FALSE))</f>
        <v/>
      </c>
      <c r="AM131">
        <f>IF(Datos!A131="","",NORMSINV(AK131))</f>
        <v/>
      </c>
      <c r="AN131">
        <f>IF(Datos!A131="","",D131/Parametros!$B$4)</f>
        <v/>
      </c>
      <c r="AO131">
        <f>IF(Datos!A131="","",MAX(0,ROUNDUP(AM131*(AN131*Parametros!$B$3)*SQRT((AL131+E131)),0)))</f>
        <v/>
      </c>
      <c r="AP131">
        <f>IF(Datos!A131="","",MAX(1,ROUNDUP(AN131*(AL131+E131)+AM131*(AN131*Parametros!$B$3)*SQRT((AL131+E131)),0)))</f>
        <v/>
      </c>
      <c r="AQ131">
        <f>IF(Datos!A131="","",IF(Datos!J131="","",Datos!J131))</f>
        <v/>
      </c>
      <c r="AR131">
        <f>IF(OR(Datos!A131="",AQ131=""),"",MAX(0,AQ131-AP131))</f>
        <v/>
      </c>
      <c r="AS131" s="10">
        <f>IF(OR(Datos!A131="",AQ131=""),"",AR131*C131)</f>
        <v/>
      </c>
      <c r="AT131" s="12">
        <f>IF(OR(Datos!A131="",AQ131=""),"",IF(AQ131&lt;AO131,"SI",""))</f>
        <v/>
      </c>
      <c r="AU131">
        <f>IF(Datos!A131="","",IF(AT131="SI","Reponer ahora",IF(AND(AQ131&lt;&gt;"",AR131&gt;0),"Bajar "&amp;TEXT(AR131,"#,##0")&amp;" un.","En rango")))</f>
        <v/>
      </c>
    </row>
    <row r="132">
      <c r="A132">
        <f>IF(Datos!A132="","",Datos!A132)</f>
        <v/>
      </c>
      <c r="B132">
        <f>IF(Datos!A132="","",Datos!B132)</f>
        <v/>
      </c>
      <c r="C132">
        <f>IF(Datos!A132="","",IFERROR(MAX(0,N(Datos!D132)),0))</f>
        <v/>
      </c>
      <c r="D132">
        <f>IF(Datos!A132="","",IFERROR(MAX(0,N(Datos!E132)),0))</f>
        <v/>
      </c>
      <c r="E132">
        <f>IF(Datos!A132="","",IFERROR(MAX(0,N(Datos!F132)),0))</f>
        <v/>
      </c>
      <c r="F132">
        <f>IF(Datos!A132="","",IFERROR(MAX(0,N(Datos!G132)),0))</f>
        <v/>
      </c>
      <c r="G132">
        <f>IF(Datos!A132="","",IFERROR(MAX(0,N(Datos!H132)),0))</f>
        <v/>
      </c>
      <c r="H132">
        <f>IF(Datos!A132="","",IFERROR(MAX(0,N(Datos!I132)),0))</f>
        <v/>
      </c>
      <c r="J132">
        <f>IF(Datos!A132="","",IF(MAX(C$2:C$301)-MIN(C$2:C$301)&lt;0.000000001,0.5,(C132-MIN(C$2:C$301))/(MAX(C$2:C$301)-MIN(C$2:C$301)))+0.000000001)</f>
        <v/>
      </c>
      <c r="K132">
        <f>IF(Datos!A132="","",IF(MAX(D$2:D$301)-MIN(D$2:D$301)&lt;0.000000001,0.5,(D132-MIN(D$2:D$301))/(MAX(D$2:D$301)-MIN(D$2:D$301)))+0.000000001)</f>
        <v/>
      </c>
      <c r="L132">
        <f>IF(Datos!A132="","",IF(MAX(E$2:E$301)-MIN(E$2:E$301)&lt;0.000000001,0.5,(E132-MIN(E$2:E$301))/(MAX(E$2:E$301)-MIN(E$2:E$301)))+0.000000001)</f>
        <v/>
      </c>
      <c r="M132">
        <f>IF(Datos!A132="","",IF(MAX(F$2:F$301)-MIN(F$2:F$301)&lt;0.000000001,0.5,(F132-MIN(F$2:F$301))/(MAX(F$2:F$301)-MIN(F$2:F$301)))+0.000000001)</f>
        <v/>
      </c>
      <c r="N132">
        <f>IF(Datos!A132="","",IF(MAX(G$2:G$301)-MIN(G$2:G$301)&lt;0.000000001,0.5,(G132-MIN(G$2:G$301))/(MAX(G$2:G$301)-MIN(G$2:G$301)))+0.000000001)</f>
        <v/>
      </c>
      <c r="O132">
        <f>IF(Datos!A132="","",IF(MAX(H$2:H$301)-MIN(H$2:H$301)&lt;0.000000001,0.5,(H132-MIN(H$2:H$301))/(MAX(H$2:H$301)-MIN(H$2:H$301)))+0.000000001)</f>
        <v/>
      </c>
      <c r="Q132">
        <f>IF(Datos!A132="","",(J132/SUM(J$2:J$301))*LN(J132/SUM(J$2:J$301)))</f>
        <v/>
      </c>
      <c r="R132">
        <f>IF(Datos!A132="","",(K132/SUM(K$2:K$301))*LN(K132/SUM(K$2:K$301)))</f>
        <v/>
      </c>
      <c r="S132">
        <f>IF(Datos!A132="","",(L132/SUM(L$2:L$301))*LN(L132/SUM(L$2:L$301)))</f>
        <v/>
      </c>
      <c r="T132">
        <f>IF(Datos!A132="","",(M132/SUM(M$2:M$301))*LN(M132/SUM(M$2:M$301)))</f>
        <v/>
      </c>
      <c r="U132">
        <f>IF(Datos!A132="","",(N132/SUM(N$2:N$301))*LN(N132/SUM(N$2:N$301)))</f>
        <v/>
      </c>
      <c r="V132">
        <f>IF(Datos!A132="","",(O132/SUM(O$2:O$301))*LN(O132/SUM(O$2:O$301)))</f>
        <v/>
      </c>
      <c r="X132">
        <f>IF(Datos!A132="","",IF(SUMSQ(C$2:C$301)=0,0,C132/SQRT(SUMSQ(C$2:C$301)))*$BE$2)</f>
        <v/>
      </c>
      <c r="Y132">
        <f>IF(Datos!A132="","",IF(SUMSQ(D$2:D$301)=0,0,D132/SQRT(SUMSQ(D$2:D$301)))*$BE$3)</f>
        <v/>
      </c>
      <c r="Z132">
        <f>IF(Datos!A132="","",IF(SUMSQ(E$2:E$301)=0,0,E132/SQRT(SUMSQ(E$2:E$301)))*$BE$4)</f>
        <v/>
      </c>
      <c r="AA132">
        <f>IF(Datos!A132="","",IF(SUMSQ(F$2:F$301)=0,0,F132/SQRT(SUMSQ(F$2:F$301)))*$BE$5)</f>
        <v/>
      </c>
      <c r="AB132">
        <f>IF(Datos!A132="","",IF(SUMSQ(G$2:G$301)=0,0,G132/SQRT(SUMSQ(G$2:G$301)))*$BE$6)</f>
        <v/>
      </c>
      <c r="AC132">
        <f>IF(Datos!A132="","",IF(SUMSQ(H$2:H$301)=0,0,H132/SQRT(SUMSQ(H$2:H$301)))*$BE$7)</f>
        <v/>
      </c>
      <c r="AE132">
        <f>IF(Datos!A132="","",SQRT(SUMXMY2(X132:AC132,$X$303:$AC$303)))</f>
        <v/>
      </c>
      <c r="AF132">
        <f>IF(Datos!A132="","",SQRT(SUMXMY2(X132:AC132,$X$304:$AC$304)))</f>
        <v/>
      </c>
      <c r="AG132" s="11">
        <f>IF(Datos!A132="","",IF(AE132+AF132&lt;0.000000001,0.5,AF132/(AE132+AF132)))</f>
        <v/>
      </c>
      <c r="AH132">
        <f>IF(Datos!A132="","",AG132*MAX(C132*D132,1))</f>
        <v/>
      </c>
      <c r="AI132">
        <f>IF(Datos!A132="","",SUMIF($AH$2:$AH$301,"&gt;="&amp;AH132,$AH$2:$AH$301)/SUM($AH$2:$AH$301))</f>
        <v/>
      </c>
      <c r="AJ132" s="12">
        <f>IF(Datos!A132="","",IF(AI132&lt;=Parametros!$B$13,"A",IF(AI132&lt;=Parametros!$B$14,"B","C")))</f>
        <v/>
      </c>
      <c r="AK132" s="13">
        <f>IF(Datos!A132="","",VLOOKUP(AJ132,Parametros!$A$8:$C$10,2,FALSE))</f>
        <v/>
      </c>
      <c r="AL132">
        <f>IF(Datos!A132="","",VLOOKUP(AJ132,Parametros!$A$8:$C$10,3,FALSE))</f>
        <v/>
      </c>
      <c r="AM132">
        <f>IF(Datos!A132="","",NORMSINV(AK132))</f>
        <v/>
      </c>
      <c r="AN132">
        <f>IF(Datos!A132="","",D132/Parametros!$B$4)</f>
        <v/>
      </c>
      <c r="AO132">
        <f>IF(Datos!A132="","",MAX(0,ROUNDUP(AM132*(AN132*Parametros!$B$3)*SQRT((AL132+E132)),0)))</f>
        <v/>
      </c>
      <c r="AP132">
        <f>IF(Datos!A132="","",MAX(1,ROUNDUP(AN132*(AL132+E132)+AM132*(AN132*Parametros!$B$3)*SQRT((AL132+E132)),0)))</f>
        <v/>
      </c>
      <c r="AQ132">
        <f>IF(Datos!A132="","",IF(Datos!J132="","",Datos!J132))</f>
        <v/>
      </c>
      <c r="AR132">
        <f>IF(OR(Datos!A132="",AQ132=""),"",MAX(0,AQ132-AP132))</f>
        <v/>
      </c>
      <c r="AS132" s="10">
        <f>IF(OR(Datos!A132="",AQ132=""),"",AR132*C132)</f>
        <v/>
      </c>
      <c r="AT132" s="12">
        <f>IF(OR(Datos!A132="",AQ132=""),"",IF(AQ132&lt;AO132,"SI",""))</f>
        <v/>
      </c>
      <c r="AU132">
        <f>IF(Datos!A132="","",IF(AT132="SI","Reponer ahora",IF(AND(AQ132&lt;&gt;"",AR132&gt;0),"Bajar "&amp;TEXT(AR132,"#,##0")&amp;" un.","En rango")))</f>
        <v/>
      </c>
    </row>
    <row r="133">
      <c r="A133">
        <f>IF(Datos!A133="","",Datos!A133)</f>
        <v/>
      </c>
      <c r="B133">
        <f>IF(Datos!A133="","",Datos!B133)</f>
        <v/>
      </c>
      <c r="C133">
        <f>IF(Datos!A133="","",IFERROR(MAX(0,N(Datos!D133)),0))</f>
        <v/>
      </c>
      <c r="D133">
        <f>IF(Datos!A133="","",IFERROR(MAX(0,N(Datos!E133)),0))</f>
        <v/>
      </c>
      <c r="E133">
        <f>IF(Datos!A133="","",IFERROR(MAX(0,N(Datos!F133)),0))</f>
        <v/>
      </c>
      <c r="F133">
        <f>IF(Datos!A133="","",IFERROR(MAX(0,N(Datos!G133)),0))</f>
        <v/>
      </c>
      <c r="G133">
        <f>IF(Datos!A133="","",IFERROR(MAX(0,N(Datos!H133)),0))</f>
        <v/>
      </c>
      <c r="H133">
        <f>IF(Datos!A133="","",IFERROR(MAX(0,N(Datos!I133)),0))</f>
        <v/>
      </c>
      <c r="J133">
        <f>IF(Datos!A133="","",IF(MAX(C$2:C$301)-MIN(C$2:C$301)&lt;0.000000001,0.5,(C133-MIN(C$2:C$301))/(MAX(C$2:C$301)-MIN(C$2:C$301)))+0.000000001)</f>
        <v/>
      </c>
      <c r="K133">
        <f>IF(Datos!A133="","",IF(MAX(D$2:D$301)-MIN(D$2:D$301)&lt;0.000000001,0.5,(D133-MIN(D$2:D$301))/(MAX(D$2:D$301)-MIN(D$2:D$301)))+0.000000001)</f>
        <v/>
      </c>
      <c r="L133">
        <f>IF(Datos!A133="","",IF(MAX(E$2:E$301)-MIN(E$2:E$301)&lt;0.000000001,0.5,(E133-MIN(E$2:E$301))/(MAX(E$2:E$301)-MIN(E$2:E$301)))+0.000000001)</f>
        <v/>
      </c>
      <c r="M133">
        <f>IF(Datos!A133="","",IF(MAX(F$2:F$301)-MIN(F$2:F$301)&lt;0.000000001,0.5,(F133-MIN(F$2:F$301))/(MAX(F$2:F$301)-MIN(F$2:F$301)))+0.000000001)</f>
        <v/>
      </c>
      <c r="N133">
        <f>IF(Datos!A133="","",IF(MAX(G$2:G$301)-MIN(G$2:G$301)&lt;0.000000001,0.5,(G133-MIN(G$2:G$301))/(MAX(G$2:G$301)-MIN(G$2:G$301)))+0.000000001)</f>
        <v/>
      </c>
      <c r="O133">
        <f>IF(Datos!A133="","",IF(MAX(H$2:H$301)-MIN(H$2:H$301)&lt;0.000000001,0.5,(H133-MIN(H$2:H$301))/(MAX(H$2:H$301)-MIN(H$2:H$301)))+0.000000001)</f>
        <v/>
      </c>
      <c r="Q133">
        <f>IF(Datos!A133="","",(J133/SUM(J$2:J$301))*LN(J133/SUM(J$2:J$301)))</f>
        <v/>
      </c>
      <c r="R133">
        <f>IF(Datos!A133="","",(K133/SUM(K$2:K$301))*LN(K133/SUM(K$2:K$301)))</f>
        <v/>
      </c>
      <c r="S133">
        <f>IF(Datos!A133="","",(L133/SUM(L$2:L$301))*LN(L133/SUM(L$2:L$301)))</f>
        <v/>
      </c>
      <c r="T133">
        <f>IF(Datos!A133="","",(M133/SUM(M$2:M$301))*LN(M133/SUM(M$2:M$301)))</f>
        <v/>
      </c>
      <c r="U133">
        <f>IF(Datos!A133="","",(N133/SUM(N$2:N$301))*LN(N133/SUM(N$2:N$301)))</f>
        <v/>
      </c>
      <c r="V133">
        <f>IF(Datos!A133="","",(O133/SUM(O$2:O$301))*LN(O133/SUM(O$2:O$301)))</f>
        <v/>
      </c>
      <c r="X133">
        <f>IF(Datos!A133="","",IF(SUMSQ(C$2:C$301)=0,0,C133/SQRT(SUMSQ(C$2:C$301)))*$BE$2)</f>
        <v/>
      </c>
      <c r="Y133">
        <f>IF(Datos!A133="","",IF(SUMSQ(D$2:D$301)=0,0,D133/SQRT(SUMSQ(D$2:D$301)))*$BE$3)</f>
        <v/>
      </c>
      <c r="Z133">
        <f>IF(Datos!A133="","",IF(SUMSQ(E$2:E$301)=0,0,E133/SQRT(SUMSQ(E$2:E$301)))*$BE$4)</f>
        <v/>
      </c>
      <c r="AA133">
        <f>IF(Datos!A133="","",IF(SUMSQ(F$2:F$301)=0,0,F133/SQRT(SUMSQ(F$2:F$301)))*$BE$5)</f>
        <v/>
      </c>
      <c r="AB133">
        <f>IF(Datos!A133="","",IF(SUMSQ(G$2:G$301)=0,0,G133/SQRT(SUMSQ(G$2:G$301)))*$BE$6)</f>
        <v/>
      </c>
      <c r="AC133">
        <f>IF(Datos!A133="","",IF(SUMSQ(H$2:H$301)=0,0,H133/SQRT(SUMSQ(H$2:H$301)))*$BE$7)</f>
        <v/>
      </c>
      <c r="AE133">
        <f>IF(Datos!A133="","",SQRT(SUMXMY2(X133:AC133,$X$303:$AC$303)))</f>
        <v/>
      </c>
      <c r="AF133">
        <f>IF(Datos!A133="","",SQRT(SUMXMY2(X133:AC133,$X$304:$AC$304)))</f>
        <v/>
      </c>
      <c r="AG133" s="11">
        <f>IF(Datos!A133="","",IF(AE133+AF133&lt;0.000000001,0.5,AF133/(AE133+AF133)))</f>
        <v/>
      </c>
      <c r="AH133">
        <f>IF(Datos!A133="","",AG133*MAX(C133*D133,1))</f>
        <v/>
      </c>
      <c r="AI133">
        <f>IF(Datos!A133="","",SUMIF($AH$2:$AH$301,"&gt;="&amp;AH133,$AH$2:$AH$301)/SUM($AH$2:$AH$301))</f>
        <v/>
      </c>
      <c r="AJ133" s="12">
        <f>IF(Datos!A133="","",IF(AI133&lt;=Parametros!$B$13,"A",IF(AI133&lt;=Parametros!$B$14,"B","C")))</f>
        <v/>
      </c>
      <c r="AK133" s="13">
        <f>IF(Datos!A133="","",VLOOKUP(AJ133,Parametros!$A$8:$C$10,2,FALSE))</f>
        <v/>
      </c>
      <c r="AL133">
        <f>IF(Datos!A133="","",VLOOKUP(AJ133,Parametros!$A$8:$C$10,3,FALSE))</f>
        <v/>
      </c>
      <c r="AM133">
        <f>IF(Datos!A133="","",NORMSINV(AK133))</f>
        <v/>
      </c>
      <c r="AN133">
        <f>IF(Datos!A133="","",D133/Parametros!$B$4)</f>
        <v/>
      </c>
      <c r="AO133">
        <f>IF(Datos!A133="","",MAX(0,ROUNDUP(AM133*(AN133*Parametros!$B$3)*SQRT((AL133+E133)),0)))</f>
        <v/>
      </c>
      <c r="AP133">
        <f>IF(Datos!A133="","",MAX(1,ROUNDUP(AN133*(AL133+E133)+AM133*(AN133*Parametros!$B$3)*SQRT((AL133+E133)),0)))</f>
        <v/>
      </c>
      <c r="AQ133">
        <f>IF(Datos!A133="","",IF(Datos!J133="","",Datos!J133))</f>
        <v/>
      </c>
      <c r="AR133">
        <f>IF(OR(Datos!A133="",AQ133=""),"",MAX(0,AQ133-AP133))</f>
        <v/>
      </c>
      <c r="AS133" s="10">
        <f>IF(OR(Datos!A133="",AQ133=""),"",AR133*C133)</f>
        <v/>
      </c>
      <c r="AT133" s="12">
        <f>IF(OR(Datos!A133="",AQ133=""),"",IF(AQ133&lt;AO133,"SI",""))</f>
        <v/>
      </c>
      <c r="AU133">
        <f>IF(Datos!A133="","",IF(AT133="SI","Reponer ahora",IF(AND(AQ133&lt;&gt;"",AR133&gt;0),"Bajar "&amp;TEXT(AR133,"#,##0")&amp;" un.","En rango")))</f>
        <v/>
      </c>
    </row>
    <row r="134">
      <c r="A134">
        <f>IF(Datos!A134="","",Datos!A134)</f>
        <v/>
      </c>
      <c r="B134">
        <f>IF(Datos!A134="","",Datos!B134)</f>
        <v/>
      </c>
      <c r="C134">
        <f>IF(Datos!A134="","",IFERROR(MAX(0,N(Datos!D134)),0))</f>
        <v/>
      </c>
      <c r="D134">
        <f>IF(Datos!A134="","",IFERROR(MAX(0,N(Datos!E134)),0))</f>
        <v/>
      </c>
      <c r="E134">
        <f>IF(Datos!A134="","",IFERROR(MAX(0,N(Datos!F134)),0))</f>
        <v/>
      </c>
      <c r="F134">
        <f>IF(Datos!A134="","",IFERROR(MAX(0,N(Datos!G134)),0))</f>
        <v/>
      </c>
      <c r="G134">
        <f>IF(Datos!A134="","",IFERROR(MAX(0,N(Datos!H134)),0))</f>
        <v/>
      </c>
      <c r="H134">
        <f>IF(Datos!A134="","",IFERROR(MAX(0,N(Datos!I134)),0))</f>
        <v/>
      </c>
      <c r="J134">
        <f>IF(Datos!A134="","",IF(MAX(C$2:C$301)-MIN(C$2:C$301)&lt;0.000000001,0.5,(C134-MIN(C$2:C$301))/(MAX(C$2:C$301)-MIN(C$2:C$301)))+0.000000001)</f>
        <v/>
      </c>
      <c r="K134">
        <f>IF(Datos!A134="","",IF(MAX(D$2:D$301)-MIN(D$2:D$301)&lt;0.000000001,0.5,(D134-MIN(D$2:D$301))/(MAX(D$2:D$301)-MIN(D$2:D$301)))+0.000000001)</f>
        <v/>
      </c>
      <c r="L134">
        <f>IF(Datos!A134="","",IF(MAX(E$2:E$301)-MIN(E$2:E$301)&lt;0.000000001,0.5,(E134-MIN(E$2:E$301))/(MAX(E$2:E$301)-MIN(E$2:E$301)))+0.000000001)</f>
        <v/>
      </c>
      <c r="M134">
        <f>IF(Datos!A134="","",IF(MAX(F$2:F$301)-MIN(F$2:F$301)&lt;0.000000001,0.5,(F134-MIN(F$2:F$301))/(MAX(F$2:F$301)-MIN(F$2:F$301)))+0.000000001)</f>
        <v/>
      </c>
      <c r="N134">
        <f>IF(Datos!A134="","",IF(MAX(G$2:G$301)-MIN(G$2:G$301)&lt;0.000000001,0.5,(G134-MIN(G$2:G$301))/(MAX(G$2:G$301)-MIN(G$2:G$301)))+0.000000001)</f>
        <v/>
      </c>
      <c r="O134">
        <f>IF(Datos!A134="","",IF(MAX(H$2:H$301)-MIN(H$2:H$301)&lt;0.000000001,0.5,(H134-MIN(H$2:H$301))/(MAX(H$2:H$301)-MIN(H$2:H$301)))+0.000000001)</f>
        <v/>
      </c>
      <c r="Q134">
        <f>IF(Datos!A134="","",(J134/SUM(J$2:J$301))*LN(J134/SUM(J$2:J$301)))</f>
        <v/>
      </c>
      <c r="R134">
        <f>IF(Datos!A134="","",(K134/SUM(K$2:K$301))*LN(K134/SUM(K$2:K$301)))</f>
        <v/>
      </c>
      <c r="S134">
        <f>IF(Datos!A134="","",(L134/SUM(L$2:L$301))*LN(L134/SUM(L$2:L$301)))</f>
        <v/>
      </c>
      <c r="T134">
        <f>IF(Datos!A134="","",(M134/SUM(M$2:M$301))*LN(M134/SUM(M$2:M$301)))</f>
        <v/>
      </c>
      <c r="U134">
        <f>IF(Datos!A134="","",(N134/SUM(N$2:N$301))*LN(N134/SUM(N$2:N$301)))</f>
        <v/>
      </c>
      <c r="V134">
        <f>IF(Datos!A134="","",(O134/SUM(O$2:O$301))*LN(O134/SUM(O$2:O$301)))</f>
        <v/>
      </c>
      <c r="X134">
        <f>IF(Datos!A134="","",IF(SUMSQ(C$2:C$301)=0,0,C134/SQRT(SUMSQ(C$2:C$301)))*$BE$2)</f>
        <v/>
      </c>
      <c r="Y134">
        <f>IF(Datos!A134="","",IF(SUMSQ(D$2:D$301)=0,0,D134/SQRT(SUMSQ(D$2:D$301)))*$BE$3)</f>
        <v/>
      </c>
      <c r="Z134">
        <f>IF(Datos!A134="","",IF(SUMSQ(E$2:E$301)=0,0,E134/SQRT(SUMSQ(E$2:E$301)))*$BE$4)</f>
        <v/>
      </c>
      <c r="AA134">
        <f>IF(Datos!A134="","",IF(SUMSQ(F$2:F$301)=0,0,F134/SQRT(SUMSQ(F$2:F$301)))*$BE$5)</f>
        <v/>
      </c>
      <c r="AB134">
        <f>IF(Datos!A134="","",IF(SUMSQ(G$2:G$301)=0,0,G134/SQRT(SUMSQ(G$2:G$301)))*$BE$6)</f>
        <v/>
      </c>
      <c r="AC134">
        <f>IF(Datos!A134="","",IF(SUMSQ(H$2:H$301)=0,0,H134/SQRT(SUMSQ(H$2:H$301)))*$BE$7)</f>
        <v/>
      </c>
      <c r="AE134">
        <f>IF(Datos!A134="","",SQRT(SUMXMY2(X134:AC134,$X$303:$AC$303)))</f>
        <v/>
      </c>
      <c r="AF134">
        <f>IF(Datos!A134="","",SQRT(SUMXMY2(X134:AC134,$X$304:$AC$304)))</f>
        <v/>
      </c>
      <c r="AG134" s="11">
        <f>IF(Datos!A134="","",IF(AE134+AF134&lt;0.000000001,0.5,AF134/(AE134+AF134)))</f>
        <v/>
      </c>
      <c r="AH134">
        <f>IF(Datos!A134="","",AG134*MAX(C134*D134,1))</f>
        <v/>
      </c>
      <c r="AI134">
        <f>IF(Datos!A134="","",SUMIF($AH$2:$AH$301,"&gt;="&amp;AH134,$AH$2:$AH$301)/SUM($AH$2:$AH$301))</f>
        <v/>
      </c>
      <c r="AJ134" s="12">
        <f>IF(Datos!A134="","",IF(AI134&lt;=Parametros!$B$13,"A",IF(AI134&lt;=Parametros!$B$14,"B","C")))</f>
        <v/>
      </c>
      <c r="AK134" s="13">
        <f>IF(Datos!A134="","",VLOOKUP(AJ134,Parametros!$A$8:$C$10,2,FALSE))</f>
        <v/>
      </c>
      <c r="AL134">
        <f>IF(Datos!A134="","",VLOOKUP(AJ134,Parametros!$A$8:$C$10,3,FALSE))</f>
        <v/>
      </c>
      <c r="AM134">
        <f>IF(Datos!A134="","",NORMSINV(AK134))</f>
        <v/>
      </c>
      <c r="AN134">
        <f>IF(Datos!A134="","",D134/Parametros!$B$4)</f>
        <v/>
      </c>
      <c r="AO134">
        <f>IF(Datos!A134="","",MAX(0,ROUNDUP(AM134*(AN134*Parametros!$B$3)*SQRT((AL134+E134)),0)))</f>
        <v/>
      </c>
      <c r="AP134">
        <f>IF(Datos!A134="","",MAX(1,ROUNDUP(AN134*(AL134+E134)+AM134*(AN134*Parametros!$B$3)*SQRT((AL134+E134)),0)))</f>
        <v/>
      </c>
      <c r="AQ134">
        <f>IF(Datos!A134="","",IF(Datos!J134="","",Datos!J134))</f>
        <v/>
      </c>
      <c r="AR134">
        <f>IF(OR(Datos!A134="",AQ134=""),"",MAX(0,AQ134-AP134))</f>
        <v/>
      </c>
      <c r="AS134" s="10">
        <f>IF(OR(Datos!A134="",AQ134=""),"",AR134*C134)</f>
        <v/>
      </c>
      <c r="AT134" s="12">
        <f>IF(OR(Datos!A134="",AQ134=""),"",IF(AQ134&lt;AO134,"SI",""))</f>
        <v/>
      </c>
      <c r="AU134">
        <f>IF(Datos!A134="","",IF(AT134="SI","Reponer ahora",IF(AND(AQ134&lt;&gt;"",AR134&gt;0),"Bajar "&amp;TEXT(AR134,"#,##0")&amp;" un.","En rango")))</f>
        <v/>
      </c>
    </row>
    <row r="135">
      <c r="A135">
        <f>IF(Datos!A135="","",Datos!A135)</f>
        <v/>
      </c>
      <c r="B135">
        <f>IF(Datos!A135="","",Datos!B135)</f>
        <v/>
      </c>
      <c r="C135">
        <f>IF(Datos!A135="","",IFERROR(MAX(0,N(Datos!D135)),0))</f>
        <v/>
      </c>
      <c r="D135">
        <f>IF(Datos!A135="","",IFERROR(MAX(0,N(Datos!E135)),0))</f>
        <v/>
      </c>
      <c r="E135">
        <f>IF(Datos!A135="","",IFERROR(MAX(0,N(Datos!F135)),0))</f>
        <v/>
      </c>
      <c r="F135">
        <f>IF(Datos!A135="","",IFERROR(MAX(0,N(Datos!G135)),0))</f>
        <v/>
      </c>
      <c r="G135">
        <f>IF(Datos!A135="","",IFERROR(MAX(0,N(Datos!H135)),0))</f>
        <v/>
      </c>
      <c r="H135">
        <f>IF(Datos!A135="","",IFERROR(MAX(0,N(Datos!I135)),0))</f>
        <v/>
      </c>
      <c r="J135">
        <f>IF(Datos!A135="","",IF(MAX(C$2:C$301)-MIN(C$2:C$301)&lt;0.000000001,0.5,(C135-MIN(C$2:C$301))/(MAX(C$2:C$301)-MIN(C$2:C$301)))+0.000000001)</f>
        <v/>
      </c>
      <c r="K135">
        <f>IF(Datos!A135="","",IF(MAX(D$2:D$301)-MIN(D$2:D$301)&lt;0.000000001,0.5,(D135-MIN(D$2:D$301))/(MAX(D$2:D$301)-MIN(D$2:D$301)))+0.000000001)</f>
        <v/>
      </c>
      <c r="L135">
        <f>IF(Datos!A135="","",IF(MAX(E$2:E$301)-MIN(E$2:E$301)&lt;0.000000001,0.5,(E135-MIN(E$2:E$301))/(MAX(E$2:E$301)-MIN(E$2:E$301)))+0.000000001)</f>
        <v/>
      </c>
      <c r="M135">
        <f>IF(Datos!A135="","",IF(MAX(F$2:F$301)-MIN(F$2:F$301)&lt;0.000000001,0.5,(F135-MIN(F$2:F$301))/(MAX(F$2:F$301)-MIN(F$2:F$301)))+0.000000001)</f>
        <v/>
      </c>
      <c r="N135">
        <f>IF(Datos!A135="","",IF(MAX(G$2:G$301)-MIN(G$2:G$301)&lt;0.000000001,0.5,(G135-MIN(G$2:G$301))/(MAX(G$2:G$301)-MIN(G$2:G$301)))+0.000000001)</f>
        <v/>
      </c>
      <c r="O135">
        <f>IF(Datos!A135="","",IF(MAX(H$2:H$301)-MIN(H$2:H$301)&lt;0.000000001,0.5,(H135-MIN(H$2:H$301))/(MAX(H$2:H$301)-MIN(H$2:H$301)))+0.000000001)</f>
        <v/>
      </c>
      <c r="Q135">
        <f>IF(Datos!A135="","",(J135/SUM(J$2:J$301))*LN(J135/SUM(J$2:J$301)))</f>
        <v/>
      </c>
      <c r="R135">
        <f>IF(Datos!A135="","",(K135/SUM(K$2:K$301))*LN(K135/SUM(K$2:K$301)))</f>
        <v/>
      </c>
      <c r="S135">
        <f>IF(Datos!A135="","",(L135/SUM(L$2:L$301))*LN(L135/SUM(L$2:L$301)))</f>
        <v/>
      </c>
      <c r="T135">
        <f>IF(Datos!A135="","",(M135/SUM(M$2:M$301))*LN(M135/SUM(M$2:M$301)))</f>
        <v/>
      </c>
      <c r="U135">
        <f>IF(Datos!A135="","",(N135/SUM(N$2:N$301))*LN(N135/SUM(N$2:N$301)))</f>
        <v/>
      </c>
      <c r="V135">
        <f>IF(Datos!A135="","",(O135/SUM(O$2:O$301))*LN(O135/SUM(O$2:O$301)))</f>
        <v/>
      </c>
      <c r="X135">
        <f>IF(Datos!A135="","",IF(SUMSQ(C$2:C$301)=0,0,C135/SQRT(SUMSQ(C$2:C$301)))*$BE$2)</f>
        <v/>
      </c>
      <c r="Y135">
        <f>IF(Datos!A135="","",IF(SUMSQ(D$2:D$301)=0,0,D135/SQRT(SUMSQ(D$2:D$301)))*$BE$3)</f>
        <v/>
      </c>
      <c r="Z135">
        <f>IF(Datos!A135="","",IF(SUMSQ(E$2:E$301)=0,0,E135/SQRT(SUMSQ(E$2:E$301)))*$BE$4)</f>
        <v/>
      </c>
      <c r="AA135">
        <f>IF(Datos!A135="","",IF(SUMSQ(F$2:F$301)=0,0,F135/SQRT(SUMSQ(F$2:F$301)))*$BE$5)</f>
        <v/>
      </c>
      <c r="AB135">
        <f>IF(Datos!A135="","",IF(SUMSQ(G$2:G$301)=0,0,G135/SQRT(SUMSQ(G$2:G$301)))*$BE$6)</f>
        <v/>
      </c>
      <c r="AC135">
        <f>IF(Datos!A135="","",IF(SUMSQ(H$2:H$301)=0,0,H135/SQRT(SUMSQ(H$2:H$301)))*$BE$7)</f>
        <v/>
      </c>
      <c r="AE135">
        <f>IF(Datos!A135="","",SQRT(SUMXMY2(X135:AC135,$X$303:$AC$303)))</f>
        <v/>
      </c>
      <c r="AF135">
        <f>IF(Datos!A135="","",SQRT(SUMXMY2(X135:AC135,$X$304:$AC$304)))</f>
        <v/>
      </c>
      <c r="AG135" s="11">
        <f>IF(Datos!A135="","",IF(AE135+AF135&lt;0.000000001,0.5,AF135/(AE135+AF135)))</f>
        <v/>
      </c>
      <c r="AH135">
        <f>IF(Datos!A135="","",AG135*MAX(C135*D135,1))</f>
        <v/>
      </c>
      <c r="AI135">
        <f>IF(Datos!A135="","",SUMIF($AH$2:$AH$301,"&gt;="&amp;AH135,$AH$2:$AH$301)/SUM($AH$2:$AH$301))</f>
        <v/>
      </c>
      <c r="AJ135" s="12">
        <f>IF(Datos!A135="","",IF(AI135&lt;=Parametros!$B$13,"A",IF(AI135&lt;=Parametros!$B$14,"B","C")))</f>
        <v/>
      </c>
      <c r="AK135" s="13">
        <f>IF(Datos!A135="","",VLOOKUP(AJ135,Parametros!$A$8:$C$10,2,FALSE))</f>
        <v/>
      </c>
      <c r="AL135">
        <f>IF(Datos!A135="","",VLOOKUP(AJ135,Parametros!$A$8:$C$10,3,FALSE))</f>
        <v/>
      </c>
      <c r="AM135">
        <f>IF(Datos!A135="","",NORMSINV(AK135))</f>
        <v/>
      </c>
      <c r="AN135">
        <f>IF(Datos!A135="","",D135/Parametros!$B$4)</f>
        <v/>
      </c>
      <c r="AO135">
        <f>IF(Datos!A135="","",MAX(0,ROUNDUP(AM135*(AN135*Parametros!$B$3)*SQRT((AL135+E135)),0)))</f>
        <v/>
      </c>
      <c r="AP135">
        <f>IF(Datos!A135="","",MAX(1,ROUNDUP(AN135*(AL135+E135)+AM135*(AN135*Parametros!$B$3)*SQRT((AL135+E135)),0)))</f>
        <v/>
      </c>
      <c r="AQ135">
        <f>IF(Datos!A135="","",IF(Datos!J135="","",Datos!J135))</f>
        <v/>
      </c>
      <c r="AR135">
        <f>IF(OR(Datos!A135="",AQ135=""),"",MAX(0,AQ135-AP135))</f>
        <v/>
      </c>
      <c r="AS135" s="10">
        <f>IF(OR(Datos!A135="",AQ135=""),"",AR135*C135)</f>
        <v/>
      </c>
      <c r="AT135" s="12">
        <f>IF(OR(Datos!A135="",AQ135=""),"",IF(AQ135&lt;AO135,"SI",""))</f>
        <v/>
      </c>
      <c r="AU135">
        <f>IF(Datos!A135="","",IF(AT135="SI","Reponer ahora",IF(AND(AQ135&lt;&gt;"",AR135&gt;0),"Bajar "&amp;TEXT(AR135,"#,##0")&amp;" un.","En rango")))</f>
        <v/>
      </c>
    </row>
    <row r="136">
      <c r="A136">
        <f>IF(Datos!A136="","",Datos!A136)</f>
        <v/>
      </c>
      <c r="B136">
        <f>IF(Datos!A136="","",Datos!B136)</f>
        <v/>
      </c>
      <c r="C136">
        <f>IF(Datos!A136="","",IFERROR(MAX(0,N(Datos!D136)),0))</f>
        <v/>
      </c>
      <c r="D136">
        <f>IF(Datos!A136="","",IFERROR(MAX(0,N(Datos!E136)),0))</f>
        <v/>
      </c>
      <c r="E136">
        <f>IF(Datos!A136="","",IFERROR(MAX(0,N(Datos!F136)),0))</f>
        <v/>
      </c>
      <c r="F136">
        <f>IF(Datos!A136="","",IFERROR(MAX(0,N(Datos!G136)),0))</f>
        <v/>
      </c>
      <c r="G136">
        <f>IF(Datos!A136="","",IFERROR(MAX(0,N(Datos!H136)),0))</f>
        <v/>
      </c>
      <c r="H136">
        <f>IF(Datos!A136="","",IFERROR(MAX(0,N(Datos!I136)),0))</f>
        <v/>
      </c>
      <c r="J136">
        <f>IF(Datos!A136="","",IF(MAX(C$2:C$301)-MIN(C$2:C$301)&lt;0.000000001,0.5,(C136-MIN(C$2:C$301))/(MAX(C$2:C$301)-MIN(C$2:C$301)))+0.000000001)</f>
        <v/>
      </c>
      <c r="K136">
        <f>IF(Datos!A136="","",IF(MAX(D$2:D$301)-MIN(D$2:D$301)&lt;0.000000001,0.5,(D136-MIN(D$2:D$301))/(MAX(D$2:D$301)-MIN(D$2:D$301)))+0.000000001)</f>
        <v/>
      </c>
      <c r="L136">
        <f>IF(Datos!A136="","",IF(MAX(E$2:E$301)-MIN(E$2:E$301)&lt;0.000000001,0.5,(E136-MIN(E$2:E$301))/(MAX(E$2:E$301)-MIN(E$2:E$301)))+0.000000001)</f>
        <v/>
      </c>
      <c r="M136">
        <f>IF(Datos!A136="","",IF(MAX(F$2:F$301)-MIN(F$2:F$301)&lt;0.000000001,0.5,(F136-MIN(F$2:F$301))/(MAX(F$2:F$301)-MIN(F$2:F$301)))+0.000000001)</f>
        <v/>
      </c>
      <c r="N136">
        <f>IF(Datos!A136="","",IF(MAX(G$2:G$301)-MIN(G$2:G$301)&lt;0.000000001,0.5,(G136-MIN(G$2:G$301))/(MAX(G$2:G$301)-MIN(G$2:G$301)))+0.000000001)</f>
        <v/>
      </c>
      <c r="O136">
        <f>IF(Datos!A136="","",IF(MAX(H$2:H$301)-MIN(H$2:H$301)&lt;0.000000001,0.5,(H136-MIN(H$2:H$301))/(MAX(H$2:H$301)-MIN(H$2:H$301)))+0.000000001)</f>
        <v/>
      </c>
      <c r="Q136">
        <f>IF(Datos!A136="","",(J136/SUM(J$2:J$301))*LN(J136/SUM(J$2:J$301)))</f>
        <v/>
      </c>
      <c r="R136">
        <f>IF(Datos!A136="","",(K136/SUM(K$2:K$301))*LN(K136/SUM(K$2:K$301)))</f>
        <v/>
      </c>
      <c r="S136">
        <f>IF(Datos!A136="","",(L136/SUM(L$2:L$301))*LN(L136/SUM(L$2:L$301)))</f>
        <v/>
      </c>
      <c r="T136">
        <f>IF(Datos!A136="","",(M136/SUM(M$2:M$301))*LN(M136/SUM(M$2:M$301)))</f>
        <v/>
      </c>
      <c r="U136">
        <f>IF(Datos!A136="","",(N136/SUM(N$2:N$301))*LN(N136/SUM(N$2:N$301)))</f>
        <v/>
      </c>
      <c r="V136">
        <f>IF(Datos!A136="","",(O136/SUM(O$2:O$301))*LN(O136/SUM(O$2:O$301)))</f>
        <v/>
      </c>
      <c r="X136">
        <f>IF(Datos!A136="","",IF(SUMSQ(C$2:C$301)=0,0,C136/SQRT(SUMSQ(C$2:C$301)))*$BE$2)</f>
        <v/>
      </c>
      <c r="Y136">
        <f>IF(Datos!A136="","",IF(SUMSQ(D$2:D$301)=0,0,D136/SQRT(SUMSQ(D$2:D$301)))*$BE$3)</f>
        <v/>
      </c>
      <c r="Z136">
        <f>IF(Datos!A136="","",IF(SUMSQ(E$2:E$301)=0,0,E136/SQRT(SUMSQ(E$2:E$301)))*$BE$4)</f>
        <v/>
      </c>
      <c r="AA136">
        <f>IF(Datos!A136="","",IF(SUMSQ(F$2:F$301)=0,0,F136/SQRT(SUMSQ(F$2:F$301)))*$BE$5)</f>
        <v/>
      </c>
      <c r="AB136">
        <f>IF(Datos!A136="","",IF(SUMSQ(G$2:G$301)=0,0,G136/SQRT(SUMSQ(G$2:G$301)))*$BE$6)</f>
        <v/>
      </c>
      <c r="AC136">
        <f>IF(Datos!A136="","",IF(SUMSQ(H$2:H$301)=0,0,H136/SQRT(SUMSQ(H$2:H$301)))*$BE$7)</f>
        <v/>
      </c>
      <c r="AE136">
        <f>IF(Datos!A136="","",SQRT(SUMXMY2(X136:AC136,$X$303:$AC$303)))</f>
        <v/>
      </c>
      <c r="AF136">
        <f>IF(Datos!A136="","",SQRT(SUMXMY2(X136:AC136,$X$304:$AC$304)))</f>
        <v/>
      </c>
      <c r="AG136" s="11">
        <f>IF(Datos!A136="","",IF(AE136+AF136&lt;0.000000001,0.5,AF136/(AE136+AF136)))</f>
        <v/>
      </c>
      <c r="AH136">
        <f>IF(Datos!A136="","",AG136*MAX(C136*D136,1))</f>
        <v/>
      </c>
      <c r="AI136">
        <f>IF(Datos!A136="","",SUMIF($AH$2:$AH$301,"&gt;="&amp;AH136,$AH$2:$AH$301)/SUM($AH$2:$AH$301))</f>
        <v/>
      </c>
      <c r="AJ136" s="12">
        <f>IF(Datos!A136="","",IF(AI136&lt;=Parametros!$B$13,"A",IF(AI136&lt;=Parametros!$B$14,"B","C")))</f>
        <v/>
      </c>
      <c r="AK136" s="13">
        <f>IF(Datos!A136="","",VLOOKUP(AJ136,Parametros!$A$8:$C$10,2,FALSE))</f>
        <v/>
      </c>
      <c r="AL136">
        <f>IF(Datos!A136="","",VLOOKUP(AJ136,Parametros!$A$8:$C$10,3,FALSE))</f>
        <v/>
      </c>
      <c r="AM136">
        <f>IF(Datos!A136="","",NORMSINV(AK136))</f>
        <v/>
      </c>
      <c r="AN136">
        <f>IF(Datos!A136="","",D136/Parametros!$B$4)</f>
        <v/>
      </c>
      <c r="AO136">
        <f>IF(Datos!A136="","",MAX(0,ROUNDUP(AM136*(AN136*Parametros!$B$3)*SQRT((AL136+E136)),0)))</f>
        <v/>
      </c>
      <c r="AP136">
        <f>IF(Datos!A136="","",MAX(1,ROUNDUP(AN136*(AL136+E136)+AM136*(AN136*Parametros!$B$3)*SQRT((AL136+E136)),0)))</f>
        <v/>
      </c>
      <c r="AQ136">
        <f>IF(Datos!A136="","",IF(Datos!J136="","",Datos!J136))</f>
        <v/>
      </c>
      <c r="AR136">
        <f>IF(OR(Datos!A136="",AQ136=""),"",MAX(0,AQ136-AP136))</f>
        <v/>
      </c>
      <c r="AS136" s="10">
        <f>IF(OR(Datos!A136="",AQ136=""),"",AR136*C136)</f>
        <v/>
      </c>
      <c r="AT136" s="12">
        <f>IF(OR(Datos!A136="",AQ136=""),"",IF(AQ136&lt;AO136,"SI",""))</f>
        <v/>
      </c>
      <c r="AU136">
        <f>IF(Datos!A136="","",IF(AT136="SI","Reponer ahora",IF(AND(AQ136&lt;&gt;"",AR136&gt;0),"Bajar "&amp;TEXT(AR136,"#,##0")&amp;" un.","En rango")))</f>
        <v/>
      </c>
    </row>
    <row r="137">
      <c r="A137">
        <f>IF(Datos!A137="","",Datos!A137)</f>
        <v/>
      </c>
      <c r="B137">
        <f>IF(Datos!A137="","",Datos!B137)</f>
        <v/>
      </c>
      <c r="C137">
        <f>IF(Datos!A137="","",IFERROR(MAX(0,N(Datos!D137)),0))</f>
        <v/>
      </c>
      <c r="D137">
        <f>IF(Datos!A137="","",IFERROR(MAX(0,N(Datos!E137)),0))</f>
        <v/>
      </c>
      <c r="E137">
        <f>IF(Datos!A137="","",IFERROR(MAX(0,N(Datos!F137)),0))</f>
        <v/>
      </c>
      <c r="F137">
        <f>IF(Datos!A137="","",IFERROR(MAX(0,N(Datos!G137)),0))</f>
        <v/>
      </c>
      <c r="G137">
        <f>IF(Datos!A137="","",IFERROR(MAX(0,N(Datos!H137)),0))</f>
        <v/>
      </c>
      <c r="H137">
        <f>IF(Datos!A137="","",IFERROR(MAX(0,N(Datos!I137)),0))</f>
        <v/>
      </c>
      <c r="J137">
        <f>IF(Datos!A137="","",IF(MAX(C$2:C$301)-MIN(C$2:C$301)&lt;0.000000001,0.5,(C137-MIN(C$2:C$301))/(MAX(C$2:C$301)-MIN(C$2:C$301)))+0.000000001)</f>
        <v/>
      </c>
      <c r="K137">
        <f>IF(Datos!A137="","",IF(MAX(D$2:D$301)-MIN(D$2:D$301)&lt;0.000000001,0.5,(D137-MIN(D$2:D$301))/(MAX(D$2:D$301)-MIN(D$2:D$301)))+0.000000001)</f>
        <v/>
      </c>
      <c r="L137">
        <f>IF(Datos!A137="","",IF(MAX(E$2:E$301)-MIN(E$2:E$301)&lt;0.000000001,0.5,(E137-MIN(E$2:E$301))/(MAX(E$2:E$301)-MIN(E$2:E$301)))+0.000000001)</f>
        <v/>
      </c>
      <c r="M137">
        <f>IF(Datos!A137="","",IF(MAX(F$2:F$301)-MIN(F$2:F$301)&lt;0.000000001,0.5,(F137-MIN(F$2:F$301))/(MAX(F$2:F$301)-MIN(F$2:F$301)))+0.000000001)</f>
        <v/>
      </c>
      <c r="N137">
        <f>IF(Datos!A137="","",IF(MAX(G$2:G$301)-MIN(G$2:G$301)&lt;0.000000001,0.5,(G137-MIN(G$2:G$301))/(MAX(G$2:G$301)-MIN(G$2:G$301)))+0.000000001)</f>
        <v/>
      </c>
      <c r="O137">
        <f>IF(Datos!A137="","",IF(MAX(H$2:H$301)-MIN(H$2:H$301)&lt;0.000000001,0.5,(H137-MIN(H$2:H$301))/(MAX(H$2:H$301)-MIN(H$2:H$301)))+0.000000001)</f>
        <v/>
      </c>
      <c r="Q137">
        <f>IF(Datos!A137="","",(J137/SUM(J$2:J$301))*LN(J137/SUM(J$2:J$301)))</f>
        <v/>
      </c>
      <c r="R137">
        <f>IF(Datos!A137="","",(K137/SUM(K$2:K$301))*LN(K137/SUM(K$2:K$301)))</f>
        <v/>
      </c>
      <c r="S137">
        <f>IF(Datos!A137="","",(L137/SUM(L$2:L$301))*LN(L137/SUM(L$2:L$301)))</f>
        <v/>
      </c>
      <c r="T137">
        <f>IF(Datos!A137="","",(M137/SUM(M$2:M$301))*LN(M137/SUM(M$2:M$301)))</f>
        <v/>
      </c>
      <c r="U137">
        <f>IF(Datos!A137="","",(N137/SUM(N$2:N$301))*LN(N137/SUM(N$2:N$301)))</f>
        <v/>
      </c>
      <c r="V137">
        <f>IF(Datos!A137="","",(O137/SUM(O$2:O$301))*LN(O137/SUM(O$2:O$301)))</f>
        <v/>
      </c>
      <c r="X137">
        <f>IF(Datos!A137="","",IF(SUMSQ(C$2:C$301)=0,0,C137/SQRT(SUMSQ(C$2:C$301)))*$BE$2)</f>
        <v/>
      </c>
      <c r="Y137">
        <f>IF(Datos!A137="","",IF(SUMSQ(D$2:D$301)=0,0,D137/SQRT(SUMSQ(D$2:D$301)))*$BE$3)</f>
        <v/>
      </c>
      <c r="Z137">
        <f>IF(Datos!A137="","",IF(SUMSQ(E$2:E$301)=0,0,E137/SQRT(SUMSQ(E$2:E$301)))*$BE$4)</f>
        <v/>
      </c>
      <c r="AA137">
        <f>IF(Datos!A137="","",IF(SUMSQ(F$2:F$301)=0,0,F137/SQRT(SUMSQ(F$2:F$301)))*$BE$5)</f>
        <v/>
      </c>
      <c r="AB137">
        <f>IF(Datos!A137="","",IF(SUMSQ(G$2:G$301)=0,0,G137/SQRT(SUMSQ(G$2:G$301)))*$BE$6)</f>
        <v/>
      </c>
      <c r="AC137">
        <f>IF(Datos!A137="","",IF(SUMSQ(H$2:H$301)=0,0,H137/SQRT(SUMSQ(H$2:H$301)))*$BE$7)</f>
        <v/>
      </c>
      <c r="AE137">
        <f>IF(Datos!A137="","",SQRT(SUMXMY2(X137:AC137,$X$303:$AC$303)))</f>
        <v/>
      </c>
      <c r="AF137">
        <f>IF(Datos!A137="","",SQRT(SUMXMY2(X137:AC137,$X$304:$AC$304)))</f>
        <v/>
      </c>
      <c r="AG137" s="11">
        <f>IF(Datos!A137="","",IF(AE137+AF137&lt;0.000000001,0.5,AF137/(AE137+AF137)))</f>
        <v/>
      </c>
      <c r="AH137">
        <f>IF(Datos!A137="","",AG137*MAX(C137*D137,1))</f>
        <v/>
      </c>
      <c r="AI137">
        <f>IF(Datos!A137="","",SUMIF($AH$2:$AH$301,"&gt;="&amp;AH137,$AH$2:$AH$301)/SUM($AH$2:$AH$301))</f>
        <v/>
      </c>
      <c r="AJ137" s="12">
        <f>IF(Datos!A137="","",IF(AI137&lt;=Parametros!$B$13,"A",IF(AI137&lt;=Parametros!$B$14,"B","C")))</f>
        <v/>
      </c>
      <c r="AK137" s="13">
        <f>IF(Datos!A137="","",VLOOKUP(AJ137,Parametros!$A$8:$C$10,2,FALSE))</f>
        <v/>
      </c>
      <c r="AL137">
        <f>IF(Datos!A137="","",VLOOKUP(AJ137,Parametros!$A$8:$C$10,3,FALSE))</f>
        <v/>
      </c>
      <c r="AM137">
        <f>IF(Datos!A137="","",NORMSINV(AK137))</f>
        <v/>
      </c>
      <c r="AN137">
        <f>IF(Datos!A137="","",D137/Parametros!$B$4)</f>
        <v/>
      </c>
      <c r="AO137">
        <f>IF(Datos!A137="","",MAX(0,ROUNDUP(AM137*(AN137*Parametros!$B$3)*SQRT((AL137+E137)),0)))</f>
        <v/>
      </c>
      <c r="AP137">
        <f>IF(Datos!A137="","",MAX(1,ROUNDUP(AN137*(AL137+E137)+AM137*(AN137*Parametros!$B$3)*SQRT((AL137+E137)),0)))</f>
        <v/>
      </c>
      <c r="AQ137">
        <f>IF(Datos!A137="","",IF(Datos!J137="","",Datos!J137))</f>
        <v/>
      </c>
      <c r="AR137">
        <f>IF(OR(Datos!A137="",AQ137=""),"",MAX(0,AQ137-AP137))</f>
        <v/>
      </c>
      <c r="AS137" s="10">
        <f>IF(OR(Datos!A137="",AQ137=""),"",AR137*C137)</f>
        <v/>
      </c>
      <c r="AT137" s="12">
        <f>IF(OR(Datos!A137="",AQ137=""),"",IF(AQ137&lt;AO137,"SI",""))</f>
        <v/>
      </c>
      <c r="AU137">
        <f>IF(Datos!A137="","",IF(AT137="SI","Reponer ahora",IF(AND(AQ137&lt;&gt;"",AR137&gt;0),"Bajar "&amp;TEXT(AR137,"#,##0")&amp;" un.","En rango")))</f>
        <v/>
      </c>
    </row>
    <row r="138">
      <c r="A138">
        <f>IF(Datos!A138="","",Datos!A138)</f>
        <v/>
      </c>
      <c r="B138">
        <f>IF(Datos!A138="","",Datos!B138)</f>
        <v/>
      </c>
      <c r="C138">
        <f>IF(Datos!A138="","",IFERROR(MAX(0,N(Datos!D138)),0))</f>
        <v/>
      </c>
      <c r="D138">
        <f>IF(Datos!A138="","",IFERROR(MAX(0,N(Datos!E138)),0))</f>
        <v/>
      </c>
      <c r="E138">
        <f>IF(Datos!A138="","",IFERROR(MAX(0,N(Datos!F138)),0))</f>
        <v/>
      </c>
      <c r="F138">
        <f>IF(Datos!A138="","",IFERROR(MAX(0,N(Datos!G138)),0))</f>
        <v/>
      </c>
      <c r="G138">
        <f>IF(Datos!A138="","",IFERROR(MAX(0,N(Datos!H138)),0))</f>
        <v/>
      </c>
      <c r="H138">
        <f>IF(Datos!A138="","",IFERROR(MAX(0,N(Datos!I138)),0))</f>
        <v/>
      </c>
      <c r="J138">
        <f>IF(Datos!A138="","",IF(MAX(C$2:C$301)-MIN(C$2:C$301)&lt;0.000000001,0.5,(C138-MIN(C$2:C$301))/(MAX(C$2:C$301)-MIN(C$2:C$301)))+0.000000001)</f>
        <v/>
      </c>
      <c r="K138">
        <f>IF(Datos!A138="","",IF(MAX(D$2:D$301)-MIN(D$2:D$301)&lt;0.000000001,0.5,(D138-MIN(D$2:D$301))/(MAX(D$2:D$301)-MIN(D$2:D$301)))+0.000000001)</f>
        <v/>
      </c>
      <c r="L138">
        <f>IF(Datos!A138="","",IF(MAX(E$2:E$301)-MIN(E$2:E$301)&lt;0.000000001,0.5,(E138-MIN(E$2:E$301))/(MAX(E$2:E$301)-MIN(E$2:E$301)))+0.000000001)</f>
        <v/>
      </c>
      <c r="M138">
        <f>IF(Datos!A138="","",IF(MAX(F$2:F$301)-MIN(F$2:F$301)&lt;0.000000001,0.5,(F138-MIN(F$2:F$301))/(MAX(F$2:F$301)-MIN(F$2:F$301)))+0.000000001)</f>
        <v/>
      </c>
      <c r="N138">
        <f>IF(Datos!A138="","",IF(MAX(G$2:G$301)-MIN(G$2:G$301)&lt;0.000000001,0.5,(G138-MIN(G$2:G$301))/(MAX(G$2:G$301)-MIN(G$2:G$301)))+0.000000001)</f>
        <v/>
      </c>
      <c r="O138">
        <f>IF(Datos!A138="","",IF(MAX(H$2:H$301)-MIN(H$2:H$301)&lt;0.000000001,0.5,(H138-MIN(H$2:H$301))/(MAX(H$2:H$301)-MIN(H$2:H$301)))+0.000000001)</f>
        <v/>
      </c>
      <c r="Q138">
        <f>IF(Datos!A138="","",(J138/SUM(J$2:J$301))*LN(J138/SUM(J$2:J$301)))</f>
        <v/>
      </c>
      <c r="R138">
        <f>IF(Datos!A138="","",(K138/SUM(K$2:K$301))*LN(K138/SUM(K$2:K$301)))</f>
        <v/>
      </c>
      <c r="S138">
        <f>IF(Datos!A138="","",(L138/SUM(L$2:L$301))*LN(L138/SUM(L$2:L$301)))</f>
        <v/>
      </c>
      <c r="T138">
        <f>IF(Datos!A138="","",(M138/SUM(M$2:M$301))*LN(M138/SUM(M$2:M$301)))</f>
        <v/>
      </c>
      <c r="U138">
        <f>IF(Datos!A138="","",(N138/SUM(N$2:N$301))*LN(N138/SUM(N$2:N$301)))</f>
        <v/>
      </c>
      <c r="V138">
        <f>IF(Datos!A138="","",(O138/SUM(O$2:O$301))*LN(O138/SUM(O$2:O$301)))</f>
        <v/>
      </c>
      <c r="X138">
        <f>IF(Datos!A138="","",IF(SUMSQ(C$2:C$301)=0,0,C138/SQRT(SUMSQ(C$2:C$301)))*$BE$2)</f>
        <v/>
      </c>
      <c r="Y138">
        <f>IF(Datos!A138="","",IF(SUMSQ(D$2:D$301)=0,0,D138/SQRT(SUMSQ(D$2:D$301)))*$BE$3)</f>
        <v/>
      </c>
      <c r="Z138">
        <f>IF(Datos!A138="","",IF(SUMSQ(E$2:E$301)=0,0,E138/SQRT(SUMSQ(E$2:E$301)))*$BE$4)</f>
        <v/>
      </c>
      <c r="AA138">
        <f>IF(Datos!A138="","",IF(SUMSQ(F$2:F$301)=0,0,F138/SQRT(SUMSQ(F$2:F$301)))*$BE$5)</f>
        <v/>
      </c>
      <c r="AB138">
        <f>IF(Datos!A138="","",IF(SUMSQ(G$2:G$301)=0,0,G138/SQRT(SUMSQ(G$2:G$301)))*$BE$6)</f>
        <v/>
      </c>
      <c r="AC138">
        <f>IF(Datos!A138="","",IF(SUMSQ(H$2:H$301)=0,0,H138/SQRT(SUMSQ(H$2:H$301)))*$BE$7)</f>
        <v/>
      </c>
      <c r="AE138">
        <f>IF(Datos!A138="","",SQRT(SUMXMY2(X138:AC138,$X$303:$AC$303)))</f>
        <v/>
      </c>
      <c r="AF138">
        <f>IF(Datos!A138="","",SQRT(SUMXMY2(X138:AC138,$X$304:$AC$304)))</f>
        <v/>
      </c>
      <c r="AG138" s="11">
        <f>IF(Datos!A138="","",IF(AE138+AF138&lt;0.000000001,0.5,AF138/(AE138+AF138)))</f>
        <v/>
      </c>
      <c r="AH138">
        <f>IF(Datos!A138="","",AG138*MAX(C138*D138,1))</f>
        <v/>
      </c>
      <c r="AI138">
        <f>IF(Datos!A138="","",SUMIF($AH$2:$AH$301,"&gt;="&amp;AH138,$AH$2:$AH$301)/SUM($AH$2:$AH$301))</f>
        <v/>
      </c>
      <c r="AJ138" s="12">
        <f>IF(Datos!A138="","",IF(AI138&lt;=Parametros!$B$13,"A",IF(AI138&lt;=Parametros!$B$14,"B","C")))</f>
        <v/>
      </c>
      <c r="AK138" s="13">
        <f>IF(Datos!A138="","",VLOOKUP(AJ138,Parametros!$A$8:$C$10,2,FALSE))</f>
        <v/>
      </c>
      <c r="AL138">
        <f>IF(Datos!A138="","",VLOOKUP(AJ138,Parametros!$A$8:$C$10,3,FALSE))</f>
        <v/>
      </c>
      <c r="AM138">
        <f>IF(Datos!A138="","",NORMSINV(AK138))</f>
        <v/>
      </c>
      <c r="AN138">
        <f>IF(Datos!A138="","",D138/Parametros!$B$4)</f>
        <v/>
      </c>
      <c r="AO138">
        <f>IF(Datos!A138="","",MAX(0,ROUNDUP(AM138*(AN138*Parametros!$B$3)*SQRT((AL138+E138)),0)))</f>
        <v/>
      </c>
      <c r="AP138">
        <f>IF(Datos!A138="","",MAX(1,ROUNDUP(AN138*(AL138+E138)+AM138*(AN138*Parametros!$B$3)*SQRT((AL138+E138)),0)))</f>
        <v/>
      </c>
      <c r="AQ138">
        <f>IF(Datos!A138="","",IF(Datos!J138="","",Datos!J138))</f>
        <v/>
      </c>
      <c r="AR138">
        <f>IF(OR(Datos!A138="",AQ138=""),"",MAX(0,AQ138-AP138))</f>
        <v/>
      </c>
      <c r="AS138" s="10">
        <f>IF(OR(Datos!A138="",AQ138=""),"",AR138*C138)</f>
        <v/>
      </c>
      <c r="AT138" s="12">
        <f>IF(OR(Datos!A138="",AQ138=""),"",IF(AQ138&lt;AO138,"SI",""))</f>
        <v/>
      </c>
      <c r="AU138">
        <f>IF(Datos!A138="","",IF(AT138="SI","Reponer ahora",IF(AND(AQ138&lt;&gt;"",AR138&gt;0),"Bajar "&amp;TEXT(AR138,"#,##0")&amp;" un.","En rango")))</f>
        <v/>
      </c>
    </row>
    <row r="139">
      <c r="A139">
        <f>IF(Datos!A139="","",Datos!A139)</f>
        <v/>
      </c>
      <c r="B139">
        <f>IF(Datos!A139="","",Datos!B139)</f>
        <v/>
      </c>
      <c r="C139">
        <f>IF(Datos!A139="","",IFERROR(MAX(0,N(Datos!D139)),0))</f>
        <v/>
      </c>
      <c r="D139">
        <f>IF(Datos!A139="","",IFERROR(MAX(0,N(Datos!E139)),0))</f>
        <v/>
      </c>
      <c r="E139">
        <f>IF(Datos!A139="","",IFERROR(MAX(0,N(Datos!F139)),0))</f>
        <v/>
      </c>
      <c r="F139">
        <f>IF(Datos!A139="","",IFERROR(MAX(0,N(Datos!G139)),0))</f>
        <v/>
      </c>
      <c r="G139">
        <f>IF(Datos!A139="","",IFERROR(MAX(0,N(Datos!H139)),0))</f>
        <v/>
      </c>
      <c r="H139">
        <f>IF(Datos!A139="","",IFERROR(MAX(0,N(Datos!I139)),0))</f>
        <v/>
      </c>
      <c r="J139">
        <f>IF(Datos!A139="","",IF(MAX(C$2:C$301)-MIN(C$2:C$301)&lt;0.000000001,0.5,(C139-MIN(C$2:C$301))/(MAX(C$2:C$301)-MIN(C$2:C$301)))+0.000000001)</f>
        <v/>
      </c>
      <c r="K139">
        <f>IF(Datos!A139="","",IF(MAX(D$2:D$301)-MIN(D$2:D$301)&lt;0.000000001,0.5,(D139-MIN(D$2:D$301))/(MAX(D$2:D$301)-MIN(D$2:D$301)))+0.000000001)</f>
        <v/>
      </c>
      <c r="L139">
        <f>IF(Datos!A139="","",IF(MAX(E$2:E$301)-MIN(E$2:E$301)&lt;0.000000001,0.5,(E139-MIN(E$2:E$301))/(MAX(E$2:E$301)-MIN(E$2:E$301)))+0.000000001)</f>
        <v/>
      </c>
      <c r="M139">
        <f>IF(Datos!A139="","",IF(MAX(F$2:F$301)-MIN(F$2:F$301)&lt;0.000000001,0.5,(F139-MIN(F$2:F$301))/(MAX(F$2:F$301)-MIN(F$2:F$301)))+0.000000001)</f>
        <v/>
      </c>
      <c r="N139">
        <f>IF(Datos!A139="","",IF(MAX(G$2:G$301)-MIN(G$2:G$301)&lt;0.000000001,0.5,(G139-MIN(G$2:G$301))/(MAX(G$2:G$301)-MIN(G$2:G$301)))+0.000000001)</f>
        <v/>
      </c>
      <c r="O139">
        <f>IF(Datos!A139="","",IF(MAX(H$2:H$301)-MIN(H$2:H$301)&lt;0.000000001,0.5,(H139-MIN(H$2:H$301))/(MAX(H$2:H$301)-MIN(H$2:H$301)))+0.000000001)</f>
        <v/>
      </c>
      <c r="Q139">
        <f>IF(Datos!A139="","",(J139/SUM(J$2:J$301))*LN(J139/SUM(J$2:J$301)))</f>
        <v/>
      </c>
      <c r="R139">
        <f>IF(Datos!A139="","",(K139/SUM(K$2:K$301))*LN(K139/SUM(K$2:K$301)))</f>
        <v/>
      </c>
      <c r="S139">
        <f>IF(Datos!A139="","",(L139/SUM(L$2:L$301))*LN(L139/SUM(L$2:L$301)))</f>
        <v/>
      </c>
      <c r="T139">
        <f>IF(Datos!A139="","",(M139/SUM(M$2:M$301))*LN(M139/SUM(M$2:M$301)))</f>
        <v/>
      </c>
      <c r="U139">
        <f>IF(Datos!A139="","",(N139/SUM(N$2:N$301))*LN(N139/SUM(N$2:N$301)))</f>
        <v/>
      </c>
      <c r="V139">
        <f>IF(Datos!A139="","",(O139/SUM(O$2:O$301))*LN(O139/SUM(O$2:O$301)))</f>
        <v/>
      </c>
      <c r="X139">
        <f>IF(Datos!A139="","",IF(SUMSQ(C$2:C$301)=0,0,C139/SQRT(SUMSQ(C$2:C$301)))*$BE$2)</f>
        <v/>
      </c>
      <c r="Y139">
        <f>IF(Datos!A139="","",IF(SUMSQ(D$2:D$301)=0,0,D139/SQRT(SUMSQ(D$2:D$301)))*$BE$3)</f>
        <v/>
      </c>
      <c r="Z139">
        <f>IF(Datos!A139="","",IF(SUMSQ(E$2:E$301)=0,0,E139/SQRT(SUMSQ(E$2:E$301)))*$BE$4)</f>
        <v/>
      </c>
      <c r="AA139">
        <f>IF(Datos!A139="","",IF(SUMSQ(F$2:F$301)=0,0,F139/SQRT(SUMSQ(F$2:F$301)))*$BE$5)</f>
        <v/>
      </c>
      <c r="AB139">
        <f>IF(Datos!A139="","",IF(SUMSQ(G$2:G$301)=0,0,G139/SQRT(SUMSQ(G$2:G$301)))*$BE$6)</f>
        <v/>
      </c>
      <c r="AC139">
        <f>IF(Datos!A139="","",IF(SUMSQ(H$2:H$301)=0,0,H139/SQRT(SUMSQ(H$2:H$301)))*$BE$7)</f>
        <v/>
      </c>
      <c r="AE139">
        <f>IF(Datos!A139="","",SQRT(SUMXMY2(X139:AC139,$X$303:$AC$303)))</f>
        <v/>
      </c>
      <c r="AF139">
        <f>IF(Datos!A139="","",SQRT(SUMXMY2(X139:AC139,$X$304:$AC$304)))</f>
        <v/>
      </c>
      <c r="AG139" s="11">
        <f>IF(Datos!A139="","",IF(AE139+AF139&lt;0.000000001,0.5,AF139/(AE139+AF139)))</f>
        <v/>
      </c>
      <c r="AH139">
        <f>IF(Datos!A139="","",AG139*MAX(C139*D139,1))</f>
        <v/>
      </c>
      <c r="AI139">
        <f>IF(Datos!A139="","",SUMIF($AH$2:$AH$301,"&gt;="&amp;AH139,$AH$2:$AH$301)/SUM($AH$2:$AH$301))</f>
        <v/>
      </c>
      <c r="AJ139" s="12">
        <f>IF(Datos!A139="","",IF(AI139&lt;=Parametros!$B$13,"A",IF(AI139&lt;=Parametros!$B$14,"B","C")))</f>
        <v/>
      </c>
      <c r="AK139" s="13">
        <f>IF(Datos!A139="","",VLOOKUP(AJ139,Parametros!$A$8:$C$10,2,FALSE))</f>
        <v/>
      </c>
      <c r="AL139">
        <f>IF(Datos!A139="","",VLOOKUP(AJ139,Parametros!$A$8:$C$10,3,FALSE))</f>
        <v/>
      </c>
      <c r="AM139">
        <f>IF(Datos!A139="","",NORMSINV(AK139))</f>
        <v/>
      </c>
      <c r="AN139">
        <f>IF(Datos!A139="","",D139/Parametros!$B$4)</f>
        <v/>
      </c>
      <c r="AO139">
        <f>IF(Datos!A139="","",MAX(0,ROUNDUP(AM139*(AN139*Parametros!$B$3)*SQRT((AL139+E139)),0)))</f>
        <v/>
      </c>
      <c r="AP139">
        <f>IF(Datos!A139="","",MAX(1,ROUNDUP(AN139*(AL139+E139)+AM139*(AN139*Parametros!$B$3)*SQRT((AL139+E139)),0)))</f>
        <v/>
      </c>
      <c r="AQ139">
        <f>IF(Datos!A139="","",IF(Datos!J139="","",Datos!J139))</f>
        <v/>
      </c>
      <c r="AR139">
        <f>IF(OR(Datos!A139="",AQ139=""),"",MAX(0,AQ139-AP139))</f>
        <v/>
      </c>
      <c r="AS139" s="10">
        <f>IF(OR(Datos!A139="",AQ139=""),"",AR139*C139)</f>
        <v/>
      </c>
      <c r="AT139" s="12">
        <f>IF(OR(Datos!A139="",AQ139=""),"",IF(AQ139&lt;AO139,"SI",""))</f>
        <v/>
      </c>
      <c r="AU139">
        <f>IF(Datos!A139="","",IF(AT139="SI","Reponer ahora",IF(AND(AQ139&lt;&gt;"",AR139&gt;0),"Bajar "&amp;TEXT(AR139,"#,##0")&amp;" un.","En rango")))</f>
        <v/>
      </c>
    </row>
    <row r="140">
      <c r="A140">
        <f>IF(Datos!A140="","",Datos!A140)</f>
        <v/>
      </c>
      <c r="B140">
        <f>IF(Datos!A140="","",Datos!B140)</f>
        <v/>
      </c>
      <c r="C140">
        <f>IF(Datos!A140="","",IFERROR(MAX(0,N(Datos!D140)),0))</f>
        <v/>
      </c>
      <c r="D140">
        <f>IF(Datos!A140="","",IFERROR(MAX(0,N(Datos!E140)),0))</f>
        <v/>
      </c>
      <c r="E140">
        <f>IF(Datos!A140="","",IFERROR(MAX(0,N(Datos!F140)),0))</f>
        <v/>
      </c>
      <c r="F140">
        <f>IF(Datos!A140="","",IFERROR(MAX(0,N(Datos!G140)),0))</f>
        <v/>
      </c>
      <c r="G140">
        <f>IF(Datos!A140="","",IFERROR(MAX(0,N(Datos!H140)),0))</f>
        <v/>
      </c>
      <c r="H140">
        <f>IF(Datos!A140="","",IFERROR(MAX(0,N(Datos!I140)),0))</f>
        <v/>
      </c>
      <c r="J140">
        <f>IF(Datos!A140="","",IF(MAX(C$2:C$301)-MIN(C$2:C$301)&lt;0.000000001,0.5,(C140-MIN(C$2:C$301))/(MAX(C$2:C$301)-MIN(C$2:C$301)))+0.000000001)</f>
        <v/>
      </c>
      <c r="K140">
        <f>IF(Datos!A140="","",IF(MAX(D$2:D$301)-MIN(D$2:D$301)&lt;0.000000001,0.5,(D140-MIN(D$2:D$301))/(MAX(D$2:D$301)-MIN(D$2:D$301)))+0.000000001)</f>
        <v/>
      </c>
      <c r="L140">
        <f>IF(Datos!A140="","",IF(MAX(E$2:E$301)-MIN(E$2:E$301)&lt;0.000000001,0.5,(E140-MIN(E$2:E$301))/(MAX(E$2:E$301)-MIN(E$2:E$301)))+0.000000001)</f>
        <v/>
      </c>
      <c r="M140">
        <f>IF(Datos!A140="","",IF(MAX(F$2:F$301)-MIN(F$2:F$301)&lt;0.000000001,0.5,(F140-MIN(F$2:F$301))/(MAX(F$2:F$301)-MIN(F$2:F$301)))+0.000000001)</f>
        <v/>
      </c>
      <c r="N140">
        <f>IF(Datos!A140="","",IF(MAX(G$2:G$301)-MIN(G$2:G$301)&lt;0.000000001,0.5,(G140-MIN(G$2:G$301))/(MAX(G$2:G$301)-MIN(G$2:G$301)))+0.000000001)</f>
        <v/>
      </c>
      <c r="O140">
        <f>IF(Datos!A140="","",IF(MAX(H$2:H$301)-MIN(H$2:H$301)&lt;0.000000001,0.5,(H140-MIN(H$2:H$301))/(MAX(H$2:H$301)-MIN(H$2:H$301)))+0.000000001)</f>
        <v/>
      </c>
      <c r="Q140">
        <f>IF(Datos!A140="","",(J140/SUM(J$2:J$301))*LN(J140/SUM(J$2:J$301)))</f>
        <v/>
      </c>
      <c r="R140">
        <f>IF(Datos!A140="","",(K140/SUM(K$2:K$301))*LN(K140/SUM(K$2:K$301)))</f>
        <v/>
      </c>
      <c r="S140">
        <f>IF(Datos!A140="","",(L140/SUM(L$2:L$301))*LN(L140/SUM(L$2:L$301)))</f>
        <v/>
      </c>
      <c r="T140">
        <f>IF(Datos!A140="","",(M140/SUM(M$2:M$301))*LN(M140/SUM(M$2:M$301)))</f>
        <v/>
      </c>
      <c r="U140">
        <f>IF(Datos!A140="","",(N140/SUM(N$2:N$301))*LN(N140/SUM(N$2:N$301)))</f>
        <v/>
      </c>
      <c r="V140">
        <f>IF(Datos!A140="","",(O140/SUM(O$2:O$301))*LN(O140/SUM(O$2:O$301)))</f>
        <v/>
      </c>
      <c r="X140">
        <f>IF(Datos!A140="","",IF(SUMSQ(C$2:C$301)=0,0,C140/SQRT(SUMSQ(C$2:C$301)))*$BE$2)</f>
        <v/>
      </c>
      <c r="Y140">
        <f>IF(Datos!A140="","",IF(SUMSQ(D$2:D$301)=0,0,D140/SQRT(SUMSQ(D$2:D$301)))*$BE$3)</f>
        <v/>
      </c>
      <c r="Z140">
        <f>IF(Datos!A140="","",IF(SUMSQ(E$2:E$301)=0,0,E140/SQRT(SUMSQ(E$2:E$301)))*$BE$4)</f>
        <v/>
      </c>
      <c r="AA140">
        <f>IF(Datos!A140="","",IF(SUMSQ(F$2:F$301)=0,0,F140/SQRT(SUMSQ(F$2:F$301)))*$BE$5)</f>
        <v/>
      </c>
      <c r="AB140">
        <f>IF(Datos!A140="","",IF(SUMSQ(G$2:G$301)=0,0,G140/SQRT(SUMSQ(G$2:G$301)))*$BE$6)</f>
        <v/>
      </c>
      <c r="AC140">
        <f>IF(Datos!A140="","",IF(SUMSQ(H$2:H$301)=0,0,H140/SQRT(SUMSQ(H$2:H$301)))*$BE$7)</f>
        <v/>
      </c>
      <c r="AE140">
        <f>IF(Datos!A140="","",SQRT(SUMXMY2(X140:AC140,$X$303:$AC$303)))</f>
        <v/>
      </c>
      <c r="AF140">
        <f>IF(Datos!A140="","",SQRT(SUMXMY2(X140:AC140,$X$304:$AC$304)))</f>
        <v/>
      </c>
      <c r="AG140" s="11">
        <f>IF(Datos!A140="","",IF(AE140+AF140&lt;0.000000001,0.5,AF140/(AE140+AF140)))</f>
        <v/>
      </c>
      <c r="AH140">
        <f>IF(Datos!A140="","",AG140*MAX(C140*D140,1))</f>
        <v/>
      </c>
      <c r="AI140">
        <f>IF(Datos!A140="","",SUMIF($AH$2:$AH$301,"&gt;="&amp;AH140,$AH$2:$AH$301)/SUM($AH$2:$AH$301))</f>
        <v/>
      </c>
      <c r="AJ140" s="12">
        <f>IF(Datos!A140="","",IF(AI140&lt;=Parametros!$B$13,"A",IF(AI140&lt;=Parametros!$B$14,"B","C")))</f>
        <v/>
      </c>
      <c r="AK140" s="13">
        <f>IF(Datos!A140="","",VLOOKUP(AJ140,Parametros!$A$8:$C$10,2,FALSE))</f>
        <v/>
      </c>
      <c r="AL140">
        <f>IF(Datos!A140="","",VLOOKUP(AJ140,Parametros!$A$8:$C$10,3,FALSE))</f>
        <v/>
      </c>
      <c r="AM140">
        <f>IF(Datos!A140="","",NORMSINV(AK140))</f>
        <v/>
      </c>
      <c r="AN140">
        <f>IF(Datos!A140="","",D140/Parametros!$B$4)</f>
        <v/>
      </c>
      <c r="AO140">
        <f>IF(Datos!A140="","",MAX(0,ROUNDUP(AM140*(AN140*Parametros!$B$3)*SQRT((AL140+E140)),0)))</f>
        <v/>
      </c>
      <c r="AP140">
        <f>IF(Datos!A140="","",MAX(1,ROUNDUP(AN140*(AL140+E140)+AM140*(AN140*Parametros!$B$3)*SQRT((AL140+E140)),0)))</f>
        <v/>
      </c>
      <c r="AQ140">
        <f>IF(Datos!A140="","",IF(Datos!J140="","",Datos!J140))</f>
        <v/>
      </c>
      <c r="AR140">
        <f>IF(OR(Datos!A140="",AQ140=""),"",MAX(0,AQ140-AP140))</f>
        <v/>
      </c>
      <c r="AS140" s="10">
        <f>IF(OR(Datos!A140="",AQ140=""),"",AR140*C140)</f>
        <v/>
      </c>
      <c r="AT140" s="12">
        <f>IF(OR(Datos!A140="",AQ140=""),"",IF(AQ140&lt;AO140,"SI",""))</f>
        <v/>
      </c>
      <c r="AU140">
        <f>IF(Datos!A140="","",IF(AT140="SI","Reponer ahora",IF(AND(AQ140&lt;&gt;"",AR140&gt;0),"Bajar "&amp;TEXT(AR140,"#,##0")&amp;" un.","En rango")))</f>
        <v/>
      </c>
    </row>
    <row r="141">
      <c r="A141">
        <f>IF(Datos!A141="","",Datos!A141)</f>
        <v/>
      </c>
      <c r="B141">
        <f>IF(Datos!A141="","",Datos!B141)</f>
        <v/>
      </c>
      <c r="C141">
        <f>IF(Datos!A141="","",IFERROR(MAX(0,N(Datos!D141)),0))</f>
        <v/>
      </c>
      <c r="D141">
        <f>IF(Datos!A141="","",IFERROR(MAX(0,N(Datos!E141)),0))</f>
        <v/>
      </c>
      <c r="E141">
        <f>IF(Datos!A141="","",IFERROR(MAX(0,N(Datos!F141)),0))</f>
        <v/>
      </c>
      <c r="F141">
        <f>IF(Datos!A141="","",IFERROR(MAX(0,N(Datos!G141)),0))</f>
        <v/>
      </c>
      <c r="G141">
        <f>IF(Datos!A141="","",IFERROR(MAX(0,N(Datos!H141)),0))</f>
        <v/>
      </c>
      <c r="H141">
        <f>IF(Datos!A141="","",IFERROR(MAX(0,N(Datos!I141)),0))</f>
        <v/>
      </c>
      <c r="J141">
        <f>IF(Datos!A141="","",IF(MAX(C$2:C$301)-MIN(C$2:C$301)&lt;0.000000001,0.5,(C141-MIN(C$2:C$301))/(MAX(C$2:C$301)-MIN(C$2:C$301)))+0.000000001)</f>
        <v/>
      </c>
      <c r="K141">
        <f>IF(Datos!A141="","",IF(MAX(D$2:D$301)-MIN(D$2:D$301)&lt;0.000000001,0.5,(D141-MIN(D$2:D$301))/(MAX(D$2:D$301)-MIN(D$2:D$301)))+0.000000001)</f>
        <v/>
      </c>
      <c r="L141">
        <f>IF(Datos!A141="","",IF(MAX(E$2:E$301)-MIN(E$2:E$301)&lt;0.000000001,0.5,(E141-MIN(E$2:E$301))/(MAX(E$2:E$301)-MIN(E$2:E$301)))+0.000000001)</f>
        <v/>
      </c>
      <c r="M141">
        <f>IF(Datos!A141="","",IF(MAX(F$2:F$301)-MIN(F$2:F$301)&lt;0.000000001,0.5,(F141-MIN(F$2:F$301))/(MAX(F$2:F$301)-MIN(F$2:F$301)))+0.000000001)</f>
        <v/>
      </c>
      <c r="N141">
        <f>IF(Datos!A141="","",IF(MAX(G$2:G$301)-MIN(G$2:G$301)&lt;0.000000001,0.5,(G141-MIN(G$2:G$301))/(MAX(G$2:G$301)-MIN(G$2:G$301)))+0.000000001)</f>
        <v/>
      </c>
      <c r="O141">
        <f>IF(Datos!A141="","",IF(MAX(H$2:H$301)-MIN(H$2:H$301)&lt;0.000000001,0.5,(H141-MIN(H$2:H$301))/(MAX(H$2:H$301)-MIN(H$2:H$301)))+0.000000001)</f>
        <v/>
      </c>
      <c r="Q141">
        <f>IF(Datos!A141="","",(J141/SUM(J$2:J$301))*LN(J141/SUM(J$2:J$301)))</f>
        <v/>
      </c>
      <c r="R141">
        <f>IF(Datos!A141="","",(K141/SUM(K$2:K$301))*LN(K141/SUM(K$2:K$301)))</f>
        <v/>
      </c>
      <c r="S141">
        <f>IF(Datos!A141="","",(L141/SUM(L$2:L$301))*LN(L141/SUM(L$2:L$301)))</f>
        <v/>
      </c>
      <c r="T141">
        <f>IF(Datos!A141="","",(M141/SUM(M$2:M$301))*LN(M141/SUM(M$2:M$301)))</f>
        <v/>
      </c>
      <c r="U141">
        <f>IF(Datos!A141="","",(N141/SUM(N$2:N$301))*LN(N141/SUM(N$2:N$301)))</f>
        <v/>
      </c>
      <c r="V141">
        <f>IF(Datos!A141="","",(O141/SUM(O$2:O$301))*LN(O141/SUM(O$2:O$301)))</f>
        <v/>
      </c>
      <c r="X141">
        <f>IF(Datos!A141="","",IF(SUMSQ(C$2:C$301)=0,0,C141/SQRT(SUMSQ(C$2:C$301)))*$BE$2)</f>
        <v/>
      </c>
      <c r="Y141">
        <f>IF(Datos!A141="","",IF(SUMSQ(D$2:D$301)=0,0,D141/SQRT(SUMSQ(D$2:D$301)))*$BE$3)</f>
        <v/>
      </c>
      <c r="Z141">
        <f>IF(Datos!A141="","",IF(SUMSQ(E$2:E$301)=0,0,E141/SQRT(SUMSQ(E$2:E$301)))*$BE$4)</f>
        <v/>
      </c>
      <c r="AA141">
        <f>IF(Datos!A141="","",IF(SUMSQ(F$2:F$301)=0,0,F141/SQRT(SUMSQ(F$2:F$301)))*$BE$5)</f>
        <v/>
      </c>
      <c r="AB141">
        <f>IF(Datos!A141="","",IF(SUMSQ(G$2:G$301)=0,0,G141/SQRT(SUMSQ(G$2:G$301)))*$BE$6)</f>
        <v/>
      </c>
      <c r="AC141">
        <f>IF(Datos!A141="","",IF(SUMSQ(H$2:H$301)=0,0,H141/SQRT(SUMSQ(H$2:H$301)))*$BE$7)</f>
        <v/>
      </c>
      <c r="AE141">
        <f>IF(Datos!A141="","",SQRT(SUMXMY2(X141:AC141,$X$303:$AC$303)))</f>
        <v/>
      </c>
      <c r="AF141">
        <f>IF(Datos!A141="","",SQRT(SUMXMY2(X141:AC141,$X$304:$AC$304)))</f>
        <v/>
      </c>
      <c r="AG141" s="11">
        <f>IF(Datos!A141="","",IF(AE141+AF141&lt;0.000000001,0.5,AF141/(AE141+AF141)))</f>
        <v/>
      </c>
      <c r="AH141">
        <f>IF(Datos!A141="","",AG141*MAX(C141*D141,1))</f>
        <v/>
      </c>
      <c r="AI141">
        <f>IF(Datos!A141="","",SUMIF($AH$2:$AH$301,"&gt;="&amp;AH141,$AH$2:$AH$301)/SUM($AH$2:$AH$301))</f>
        <v/>
      </c>
      <c r="AJ141" s="12">
        <f>IF(Datos!A141="","",IF(AI141&lt;=Parametros!$B$13,"A",IF(AI141&lt;=Parametros!$B$14,"B","C")))</f>
        <v/>
      </c>
      <c r="AK141" s="13">
        <f>IF(Datos!A141="","",VLOOKUP(AJ141,Parametros!$A$8:$C$10,2,FALSE))</f>
        <v/>
      </c>
      <c r="AL141">
        <f>IF(Datos!A141="","",VLOOKUP(AJ141,Parametros!$A$8:$C$10,3,FALSE))</f>
        <v/>
      </c>
      <c r="AM141">
        <f>IF(Datos!A141="","",NORMSINV(AK141))</f>
        <v/>
      </c>
      <c r="AN141">
        <f>IF(Datos!A141="","",D141/Parametros!$B$4)</f>
        <v/>
      </c>
      <c r="AO141">
        <f>IF(Datos!A141="","",MAX(0,ROUNDUP(AM141*(AN141*Parametros!$B$3)*SQRT((AL141+E141)),0)))</f>
        <v/>
      </c>
      <c r="AP141">
        <f>IF(Datos!A141="","",MAX(1,ROUNDUP(AN141*(AL141+E141)+AM141*(AN141*Parametros!$B$3)*SQRT((AL141+E141)),0)))</f>
        <v/>
      </c>
      <c r="AQ141">
        <f>IF(Datos!A141="","",IF(Datos!J141="","",Datos!J141))</f>
        <v/>
      </c>
      <c r="AR141">
        <f>IF(OR(Datos!A141="",AQ141=""),"",MAX(0,AQ141-AP141))</f>
        <v/>
      </c>
      <c r="AS141" s="10">
        <f>IF(OR(Datos!A141="",AQ141=""),"",AR141*C141)</f>
        <v/>
      </c>
      <c r="AT141" s="12">
        <f>IF(OR(Datos!A141="",AQ141=""),"",IF(AQ141&lt;AO141,"SI",""))</f>
        <v/>
      </c>
      <c r="AU141">
        <f>IF(Datos!A141="","",IF(AT141="SI","Reponer ahora",IF(AND(AQ141&lt;&gt;"",AR141&gt;0),"Bajar "&amp;TEXT(AR141,"#,##0")&amp;" un.","En rango")))</f>
        <v/>
      </c>
    </row>
    <row r="142">
      <c r="A142">
        <f>IF(Datos!A142="","",Datos!A142)</f>
        <v/>
      </c>
      <c r="B142">
        <f>IF(Datos!A142="","",Datos!B142)</f>
        <v/>
      </c>
      <c r="C142">
        <f>IF(Datos!A142="","",IFERROR(MAX(0,N(Datos!D142)),0))</f>
        <v/>
      </c>
      <c r="D142">
        <f>IF(Datos!A142="","",IFERROR(MAX(0,N(Datos!E142)),0))</f>
        <v/>
      </c>
      <c r="E142">
        <f>IF(Datos!A142="","",IFERROR(MAX(0,N(Datos!F142)),0))</f>
        <v/>
      </c>
      <c r="F142">
        <f>IF(Datos!A142="","",IFERROR(MAX(0,N(Datos!G142)),0))</f>
        <v/>
      </c>
      <c r="G142">
        <f>IF(Datos!A142="","",IFERROR(MAX(0,N(Datos!H142)),0))</f>
        <v/>
      </c>
      <c r="H142">
        <f>IF(Datos!A142="","",IFERROR(MAX(0,N(Datos!I142)),0))</f>
        <v/>
      </c>
      <c r="J142">
        <f>IF(Datos!A142="","",IF(MAX(C$2:C$301)-MIN(C$2:C$301)&lt;0.000000001,0.5,(C142-MIN(C$2:C$301))/(MAX(C$2:C$301)-MIN(C$2:C$301)))+0.000000001)</f>
        <v/>
      </c>
      <c r="K142">
        <f>IF(Datos!A142="","",IF(MAX(D$2:D$301)-MIN(D$2:D$301)&lt;0.000000001,0.5,(D142-MIN(D$2:D$301))/(MAX(D$2:D$301)-MIN(D$2:D$301)))+0.000000001)</f>
        <v/>
      </c>
      <c r="L142">
        <f>IF(Datos!A142="","",IF(MAX(E$2:E$301)-MIN(E$2:E$301)&lt;0.000000001,0.5,(E142-MIN(E$2:E$301))/(MAX(E$2:E$301)-MIN(E$2:E$301)))+0.000000001)</f>
        <v/>
      </c>
      <c r="M142">
        <f>IF(Datos!A142="","",IF(MAX(F$2:F$301)-MIN(F$2:F$301)&lt;0.000000001,0.5,(F142-MIN(F$2:F$301))/(MAX(F$2:F$301)-MIN(F$2:F$301)))+0.000000001)</f>
        <v/>
      </c>
      <c r="N142">
        <f>IF(Datos!A142="","",IF(MAX(G$2:G$301)-MIN(G$2:G$301)&lt;0.000000001,0.5,(G142-MIN(G$2:G$301))/(MAX(G$2:G$301)-MIN(G$2:G$301)))+0.000000001)</f>
        <v/>
      </c>
      <c r="O142">
        <f>IF(Datos!A142="","",IF(MAX(H$2:H$301)-MIN(H$2:H$301)&lt;0.000000001,0.5,(H142-MIN(H$2:H$301))/(MAX(H$2:H$301)-MIN(H$2:H$301)))+0.000000001)</f>
        <v/>
      </c>
      <c r="Q142">
        <f>IF(Datos!A142="","",(J142/SUM(J$2:J$301))*LN(J142/SUM(J$2:J$301)))</f>
        <v/>
      </c>
      <c r="R142">
        <f>IF(Datos!A142="","",(K142/SUM(K$2:K$301))*LN(K142/SUM(K$2:K$301)))</f>
        <v/>
      </c>
      <c r="S142">
        <f>IF(Datos!A142="","",(L142/SUM(L$2:L$301))*LN(L142/SUM(L$2:L$301)))</f>
        <v/>
      </c>
      <c r="T142">
        <f>IF(Datos!A142="","",(M142/SUM(M$2:M$301))*LN(M142/SUM(M$2:M$301)))</f>
        <v/>
      </c>
      <c r="U142">
        <f>IF(Datos!A142="","",(N142/SUM(N$2:N$301))*LN(N142/SUM(N$2:N$301)))</f>
        <v/>
      </c>
      <c r="V142">
        <f>IF(Datos!A142="","",(O142/SUM(O$2:O$301))*LN(O142/SUM(O$2:O$301)))</f>
        <v/>
      </c>
      <c r="X142">
        <f>IF(Datos!A142="","",IF(SUMSQ(C$2:C$301)=0,0,C142/SQRT(SUMSQ(C$2:C$301)))*$BE$2)</f>
        <v/>
      </c>
      <c r="Y142">
        <f>IF(Datos!A142="","",IF(SUMSQ(D$2:D$301)=0,0,D142/SQRT(SUMSQ(D$2:D$301)))*$BE$3)</f>
        <v/>
      </c>
      <c r="Z142">
        <f>IF(Datos!A142="","",IF(SUMSQ(E$2:E$301)=0,0,E142/SQRT(SUMSQ(E$2:E$301)))*$BE$4)</f>
        <v/>
      </c>
      <c r="AA142">
        <f>IF(Datos!A142="","",IF(SUMSQ(F$2:F$301)=0,0,F142/SQRT(SUMSQ(F$2:F$301)))*$BE$5)</f>
        <v/>
      </c>
      <c r="AB142">
        <f>IF(Datos!A142="","",IF(SUMSQ(G$2:G$301)=0,0,G142/SQRT(SUMSQ(G$2:G$301)))*$BE$6)</f>
        <v/>
      </c>
      <c r="AC142">
        <f>IF(Datos!A142="","",IF(SUMSQ(H$2:H$301)=0,0,H142/SQRT(SUMSQ(H$2:H$301)))*$BE$7)</f>
        <v/>
      </c>
      <c r="AE142">
        <f>IF(Datos!A142="","",SQRT(SUMXMY2(X142:AC142,$X$303:$AC$303)))</f>
        <v/>
      </c>
      <c r="AF142">
        <f>IF(Datos!A142="","",SQRT(SUMXMY2(X142:AC142,$X$304:$AC$304)))</f>
        <v/>
      </c>
      <c r="AG142" s="11">
        <f>IF(Datos!A142="","",IF(AE142+AF142&lt;0.000000001,0.5,AF142/(AE142+AF142)))</f>
        <v/>
      </c>
      <c r="AH142">
        <f>IF(Datos!A142="","",AG142*MAX(C142*D142,1))</f>
        <v/>
      </c>
      <c r="AI142">
        <f>IF(Datos!A142="","",SUMIF($AH$2:$AH$301,"&gt;="&amp;AH142,$AH$2:$AH$301)/SUM($AH$2:$AH$301))</f>
        <v/>
      </c>
      <c r="AJ142" s="12">
        <f>IF(Datos!A142="","",IF(AI142&lt;=Parametros!$B$13,"A",IF(AI142&lt;=Parametros!$B$14,"B","C")))</f>
        <v/>
      </c>
      <c r="AK142" s="13">
        <f>IF(Datos!A142="","",VLOOKUP(AJ142,Parametros!$A$8:$C$10,2,FALSE))</f>
        <v/>
      </c>
      <c r="AL142">
        <f>IF(Datos!A142="","",VLOOKUP(AJ142,Parametros!$A$8:$C$10,3,FALSE))</f>
        <v/>
      </c>
      <c r="AM142">
        <f>IF(Datos!A142="","",NORMSINV(AK142))</f>
        <v/>
      </c>
      <c r="AN142">
        <f>IF(Datos!A142="","",D142/Parametros!$B$4)</f>
        <v/>
      </c>
      <c r="AO142">
        <f>IF(Datos!A142="","",MAX(0,ROUNDUP(AM142*(AN142*Parametros!$B$3)*SQRT((AL142+E142)),0)))</f>
        <v/>
      </c>
      <c r="AP142">
        <f>IF(Datos!A142="","",MAX(1,ROUNDUP(AN142*(AL142+E142)+AM142*(AN142*Parametros!$B$3)*SQRT((AL142+E142)),0)))</f>
        <v/>
      </c>
      <c r="AQ142">
        <f>IF(Datos!A142="","",IF(Datos!J142="","",Datos!J142))</f>
        <v/>
      </c>
      <c r="AR142">
        <f>IF(OR(Datos!A142="",AQ142=""),"",MAX(0,AQ142-AP142))</f>
        <v/>
      </c>
      <c r="AS142" s="10">
        <f>IF(OR(Datos!A142="",AQ142=""),"",AR142*C142)</f>
        <v/>
      </c>
      <c r="AT142" s="12">
        <f>IF(OR(Datos!A142="",AQ142=""),"",IF(AQ142&lt;AO142,"SI",""))</f>
        <v/>
      </c>
      <c r="AU142">
        <f>IF(Datos!A142="","",IF(AT142="SI","Reponer ahora",IF(AND(AQ142&lt;&gt;"",AR142&gt;0),"Bajar "&amp;TEXT(AR142,"#,##0")&amp;" un.","En rango")))</f>
        <v/>
      </c>
    </row>
    <row r="143">
      <c r="A143">
        <f>IF(Datos!A143="","",Datos!A143)</f>
        <v/>
      </c>
      <c r="B143">
        <f>IF(Datos!A143="","",Datos!B143)</f>
        <v/>
      </c>
      <c r="C143">
        <f>IF(Datos!A143="","",IFERROR(MAX(0,N(Datos!D143)),0))</f>
        <v/>
      </c>
      <c r="D143">
        <f>IF(Datos!A143="","",IFERROR(MAX(0,N(Datos!E143)),0))</f>
        <v/>
      </c>
      <c r="E143">
        <f>IF(Datos!A143="","",IFERROR(MAX(0,N(Datos!F143)),0))</f>
        <v/>
      </c>
      <c r="F143">
        <f>IF(Datos!A143="","",IFERROR(MAX(0,N(Datos!G143)),0))</f>
        <v/>
      </c>
      <c r="G143">
        <f>IF(Datos!A143="","",IFERROR(MAX(0,N(Datos!H143)),0))</f>
        <v/>
      </c>
      <c r="H143">
        <f>IF(Datos!A143="","",IFERROR(MAX(0,N(Datos!I143)),0))</f>
        <v/>
      </c>
      <c r="J143">
        <f>IF(Datos!A143="","",IF(MAX(C$2:C$301)-MIN(C$2:C$301)&lt;0.000000001,0.5,(C143-MIN(C$2:C$301))/(MAX(C$2:C$301)-MIN(C$2:C$301)))+0.000000001)</f>
        <v/>
      </c>
      <c r="K143">
        <f>IF(Datos!A143="","",IF(MAX(D$2:D$301)-MIN(D$2:D$301)&lt;0.000000001,0.5,(D143-MIN(D$2:D$301))/(MAX(D$2:D$301)-MIN(D$2:D$301)))+0.000000001)</f>
        <v/>
      </c>
      <c r="L143">
        <f>IF(Datos!A143="","",IF(MAX(E$2:E$301)-MIN(E$2:E$301)&lt;0.000000001,0.5,(E143-MIN(E$2:E$301))/(MAX(E$2:E$301)-MIN(E$2:E$301)))+0.000000001)</f>
        <v/>
      </c>
      <c r="M143">
        <f>IF(Datos!A143="","",IF(MAX(F$2:F$301)-MIN(F$2:F$301)&lt;0.000000001,0.5,(F143-MIN(F$2:F$301))/(MAX(F$2:F$301)-MIN(F$2:F$301)))+0.000000001)</f>
        <v/>
      </c>
      <c r="N143">
        <f>IF(Datos!A143="","",IF(MAX(G$2:G$301)-MIN(G$2:G$301)&lt;0.000000001,0.5,(G143-MIN(G$2:G$301))/(MAX(G$2:G$301)-MIN(G$2:G$301)))+0.000000001)</f>
        <v/>
      </c>
      <c r="O143">
        <f>IF(Datos!A143="","",IF(MAX(H$2:H$301)-MIN(H$2:H$301)&lt;0.000000001,0.5,(H143-MIN(H$2:H$301))/(MAX(H$2:H$301)-MIN(H$2:H$301)))+0.000000001)</f>
        <v/>
      </c>
      <c r="Q143">
        <f>IF(Datos!A143="","",(J143/SUM(J$2:J$301))*LN(J143/SUM(J$2:J$301)))</f>
        <v/>
      </c>
      <c r="R143">
        <f>IF(Datos!A143="","",(K143/SUM(K$2:K$301))*LN(K143/SUM(K$2:K$301)))</f>
        <v/>
      </c>
      <c r="S143">
        <f>IF(Datos!A143="","",(L143/SUM(L$2:L$301))*LN(L143/SUM(L$2:L$301)))</f>
        <v/>
      </c>
      <c r="T143">
        <f>IF(Datos!A143="","",(M143/SUM(M$2:M$301))*LN(M143/SUM(M$2:M$301)))</f>
        <v/>
      </c>
      <c r="U143">
        <f>IF(Datos!A143="","",(N143/SUM(N$2:N$301))*LN(N143/SUM(N$2:N$301)))</f>
        <v/>
      </c>
      <c r="V143">
        <f>IF(Datos!A143="","",(O143/SUM(O$2:O$301))*LN(O143/SUM(O$2:O$301)))</f>
        <v/>
      </c>
      <c r="X143">
        <f>IF(Datos!A143="","",IF(SUMSQ(C$2:C$301)=0,0,C143/SQRT(SUMSQ(C$2:C$301)))*$BE$2)</f>
        <v/>
      </c>
      <c r="Y143">
        <f>IF(Datos!A143="","",IF(SUMSQ(D$2:D$301)=0,0,D143/SQRT(SUMSQ(D$2:D$301)))*$BE$3)</f>
        <v/>
      </c>
      <c r="Z143">
        <f>IF(Datos!A143="","",IF(SUMSQ(E$2:E$301)=0,0,E143/SQRT(SUMSQ(E$2:E$301)))*$BE$4)</f>
        <v/>
      </c>
      <c r="AA143">
        <f>IF(Datos!A143="","",IF(SUMSQ(F$2:F$301)=0,0,F143/SQRT(SUMSQ(F$2:F$301)))*$BE$5)</f>
        <v/>
      </c>
      <c r="AB143">
        <f>IF(Datos!A143="","",IF(SUMSQ(G$2:G$301)=0,0,G143/SQRT(SUMSQ(G$2:G$301)))*$BE$6)</f>
        <v/>
      </c>
      <c r="AC143">
        <f>IF(Datos!A143="","",IF(SUMSQ(H$2:H$301)=0,0,H143/SQRT(SUMSQ(H$2:H$301)))*$BE$7)</f>
        <v/>
      </c>
      <c r="AE143">
        <f>IF(Datos!A143="","",SQRT(SUMXMY2(X143:AC143,$X$303:$AC$303)))</f>
        <v/>
      </c>
      <c r="AF143">
        <f>IF(Datos!A143="","",SQRT(SUMXMY2(X143:AC143,$X$304:$AC$304)))</f>
        <v/>
      </c>
      <c r="AG143" s="11">
        <f>IF(Datos!A143="","",IF(AE143+AF143&lt;0.000000001,0.5,AF143/(AE143+AF143)))</f>
        <v/>
      </c>
      <c r="AH143">
        <f>IF(Datos!A143="","",AG143*MAX(C143*D143,1))</f>
        <v/>
      </c>
      <c r="AI143">
        <f>IF(Datos!A143="","",SUMIF($AH$2:$AH$301,"&gt;="&amp;AH143,$AH$2:$AH$301)/SUM($AH$2:$AH$301))</f>
        <v/>
      </c>
      <c r="AJ143" s="12">
        <f>IF(Datos!A143="","",IF(AI143&lt;=Parametros!$B$13,"A",IF(AI143&lt;=Parametros!$B$14,"B","C")))</f>
        <v/>
      </c>
      <c r="AK143" s="13">
        <f>IF(Datos!A143="","",VLOOKUP(AJ143,Parametros!$A$8:$C$10,2,FALSE))</f>
        <v/>
      </c>
      <c r="AL143">
        <f>IF(Datos!A143="","",VLOOKUP(AJ143,Parametros!$A$8:$C$10,3,FALSE))</f>
        <v/>
      </c>
      <c r="AM143">
        <f>IF(Datos!A143="","",NORMSINV(AK143))</f>
        <v/>
      </c>
      <c r="AN143">
        <f>IF(Datos!A143="","",D143/Parametros!$B$4)</f>
        <v/>
      </c>
      <c r="AO143">
        <f>IF(Datos!A143="","",MAX(0,ROUNDUP(AM143*(AN143*Parametros!$B$3)*SQRT((AL143+E143)),0)))</f>
        <v/>
      </c>
      <c r="AP143">
        <f>IF(Datos!A143="","",MAX(1,ROUNDUP(AN143*(AL143+E143)+AM143*(AN143*Parametros!$B$3)*SQRT((AL143+E143)),0)))</f>
        <v/>
      </c>
      <c r="AQ143">
        <f>IF(Datos!A143="","",IF(Datos!J143="","",Datos!J143))</f>
        <v/>
      </c>
      <c r="AR143">
        <f>IF(OR(Datos!A143="",AQ143=""),"",MAX(0,AQ143-AP143))</f>
        <v/>
      </c>
      <c r="AS143" s="10">
        <f>IF(OR(Datos!A143="",AQ143=""),"",AR143*C143)</f>
        <v/>
      </c>
      <c r="AT143" s="12">
        <f>IF(OR(Datos!A143="",AQ143=""),"",IF(AQ143&lt;AO143,"SI",""))</f>
        <v/>
      </c>
      <c r="AU143">
        <f>IF(Datos!A143="","",IF(AT143="SI","Reponer ahora",IF(AND(AQ143&lt;&gt;"",AR143&gt;0),"Bajar "&amp;TEXT(AR143,"#,##0")&amp;" un.","En rango")))</f>
        <v/>
      </c>
    </row>
    <row r="144">
      <c r="A144">
        <f>IF(Datos!A144="","",Datos!A144)</f>
        <v/>
      </c>
      <c r="B144">
        <f>IF(Datos!A144="","",Datos!B144)</f>
        <v/>
      </c>
      <c r="C144">
        <f>IF(Datos!A144="","",IFERROR(MAX(0,N(Datos!D144)),0))</f>
        <v/>
      </c>
      <c r="D144">
        <f>IF(Datos!A144="","",IFERROR(MAX(0,N(Datos!E144)),0))</f>
        <v/>
      </c>
      <c r="E144">
        <f>IF(Datos!A144="","",IFERROR(MAX(0,N(Datos!F144)),0))</f>
        <v/>
      </c>
      <c r="F144">
        <f>IF(Datos!A144="","",IFERROR(MAX(0,N(Datos!G144)),0))</f>
        <v/>
      </c>
      <c r="G144">
        <f>IF(Datos!A144="","",IFERROR(MAX(0,N(Datos!H144)),0))</f>
        <v/>
      </c>
      <c r="H144">
        <f>IF(Datos!A144="","",IFERROR(MAX(0,N(Datos!I144)),0))</f>
        <v/>
      </c>
      <c r="J144">
        <f>IF(Datos!A144="","",IF(MAX(C$2:C$301)-MIN(C$2:C$301)&lt;0.000000001,0.5,(C144-MIN(C$2:C$301))/(MAX(C$2:C$301)-MIN(C$2:C$301)))+0.000000001)</f>
        <v/>
      </c>
      <c r="K144">
        <f>IF(Datos!A144="","",IF(MAX(D$2:D$301)-MIN(D$2:D$301)&lt;0.000000001,0.5,(D144-MIN(D$2:D$301))/(MAX(D$2:D$301)-MIN(D$2:D$301)))+0.000000001)</f>
        <v/>
      </c>
      <c r="L144">
        <f>IF(Datos!A144="","",IF(MAX(E$2:E$301)-MIN(E$2:E$301)&lt;0.000000001,0.5,(E144-MIN(E$2:E$301))/(MAX(E$2:E$301)-MIN(E$2:E$301)))+0.000000001)</f>
        <v/>
      </c>
      <c r="M144">
        <f>IF(Datos!A144="","",IF(MAX(F$2:F$301)-MIN(F$2:F$301)&lt;0.000000001,0.5,(F144-MIN(F$2:F$301))/(MAX(F$2:F$301)-MIN(F$2:F$301)))+0.000000001)</f>
        <v/>
      </c>
      <c r="N144">
        <f>IF(Datos!A144="","",IF(MAX(G$2:G$301)-MIN(G$2:G$301)&lt;0.000000001,0.5,(G144-MIN(G$2:G$301))/(MAX(G$2:G$301)-MIN(G$2:G$301)))+0.000000001)</f>
        <v/>
      </c>
      <c r="O144">
        <f>IF(Datos!A144="","",IF(MAX(H$2:H$301)-MIN(H$2:H$301)&lt;0.000000001,0.5,(H144-MIN(H$2:H$301))/(MAX(H$2:H$301)-MIN(H$2:H$301)))+0.000000001)</f>
        <v/>
      </c>
      <c r="Q144">
        <f>IF(Datos!A144="","",(J144/SUM(J$2:J$301))*LN(J144/SUM(J$2:J$301)))</f>
        <v/>
      </c>
      <c r="R144">
        <f>IF(Datos!A144="","",(K144/SUM(K$2:K$301))*LN(K144/SUM(K$2:K$301)))</f>
        <v/>
      </c>
      <c r="S144">
        <f>IF(Datos!A144="","",(L144/SUM(L$2:L$301))*LN(L144/SUM(L$2:L$301)))</f>
        <v/>
      </c>
      <c r="T144">
        <f>IF(Datos!A144="","",(M144/SUM(M$2:M$301))*LN(M144/SUM(M$2:M$301)))</f>
        <v/>
      </c>
      <c r="U144">
        <f>IF(Datos!A144="","",(N144/SUM(N$2:N$301))*LN(N144/SUM(N$2:N$301)))</f>
        <v/>
      </c>
      <c r="V144">
        <f>IF(Datos!A144="","",(O144/SUM(O$2:O$301))*LN(O144/SUM(O$2:O$301)))</f>
        <v/>
      </c>
      <c r="X144">
        <f>IF(Datos!A144="","",IF(SUMSQ(C$2:C$301)=0,0,C144/SQRT(SUMSQ(C$2:C$301)))*$BE$2)</f>
        <v/>
      </c>
      <c r="Y144">
        <f>IF(Datos!A144="","",IF(SUMSQ(D$2:D$301)=0,0,D144/SQRT(SUMSQ(D$2:D$301)))*$BE$3)</f>
        <v/>
      </c>
      <c r="Z144">
        <f>IF(Datos!A144="","",IF(SUMSQ(E$2:E$301)=0,0,E144/SQRT(SUMSQ(E$2:E$301)))*$BE$4)</f>
        <v/>
      </c>
      <c r="AA144">
        <f>IF(Datos!A144="","",IF(SUMSQ(F$2:F$301)=0,0,F144/SQRT(SUMSQ(F$2:F$301)))*$BE$5)</f>
        <v/>
      </c>
      <c r="AB144">
        <f>IF(Datos!A144="","",IF(SUMSQ(G$2:G$301)=0,0,G144/SQRT(SUMSQ(G$2:G$301)))*$BE$6)</f>
        <v/>
      </c>
      <c r="AC144">
        <f>IF(Datos!A144="","",IF(SUMSQ(H$2:H$301)=0,0,H144/SQRT(SUMSQ(H$2:H$301)))*$BE$7)</f>
        <v/>
      </c>
      <c r="AE144">
        <f>IF(Datos!A144="","",SQRT(SUMXMY2(X144:AC144,$X$303:$AC$303)))</f>
        <v/>
      </c>
      <c r="AF144">
        <f>IF(Datos!A144="","",SQRT(SUMXMY2(X144:AC144,$X$304:$AC$304)))</f>
        <v/>
      </c>
      <c r="AG144" s="11">
        <f>IF(Datos!A144="","",IF(AE144+AF144&lt;0.000000001,0.5,AF144/(AE144+AF144)))</f>
        <v/>
      </c>
      <c r="AH144">
        <f>IF(Datos!A144="","",AG144*MAX(C144*D144,1))</f>
        <v/>
      </c>
      <c r="AI144">
        <f>IF(Datos!A144="","",SUMIF($AH$2:$AH$301,"&gt;="&amp;AH144,$AH$2:$AH$301)/SUM($AH$2:$AH$301))</f>
        <v/>
      </c>
      <c r="AJ144" s="12">
        <f>IF(Datos!A144="","",IF(AI144&lt;=Parametros!$B$13,"A",IF(AI144&lt;=Parametros!$B$14,"B","C")))</f>
        <v/>
      </c>
      <c r="AK144" s="13">
        <f>IF(Datos!A144="","",VLOOKUP(AJ144,Parametros!$A$8:$C$10,2,FALSE))</f>
        <v/>
      </c>
      <c r="AL144">
        <f>IF(Datos!A144="","",VLOOKUP(AJ144,Parametros!$A$8:$C$10,3,FALSE))</f>
        <v/>
      </c>
      <c r="AM144">
        <f>IF(Datos!A144="","",NORMSINV(AK144))</f>
        <v/>
      </c>
      <c r="AN144">
        <f>IF(Datos!A144="","",D144/Parametros!$B$4)</f>
        <v/>
      </c>
      <c r="AO144">
        <f>IF(Datos!A144="","",MAX(0,ROUNDUP(AM144*(AN144*Parametros!$B$3)*SQRT((AL144+E144)),0)))</f>
        <v/>
      </c>
      <c r="AP144">
        <f>IF(Datos!A144="","",MAX(1,ROUNDUP(AN144*(AL144+E144)+AM144*(AN144*Parametros!$B$3)*SQRT((AL144+E144)),0)))</f>
        <v/>
      </c>
      <c r="AQ144">
        <f>IF(Datos!A144="","",IF(Datos!J144="","",Datos!J144))</f>
        <v/>
      </c>
      <c r="AR144">
        <f>IF(OR(Datos!A144="",AQ144=""),"",MAX(0,AQ144-AP144))</f>
        <v/>
      </c>
      <c r="AS144" s="10">
        <f>IF(OR(Datos!A144="",AQ144=""),"",AR144*C144)</f>
        <v/>
      </c>
      <c r="AT144" s="12">
        <f>IF(OR(Datos!A144="",AQ144=""),"",IF(AQ144&lt;AO144,"SI",""))</f>
        <v/>
      </c>
      <c r="AU144">
        <f>IF(Datos!A144="","",IF(AT144="SI","Reponer ahora",IF(AND(AQ144&lt;&gt;"",AR144&gt;0),"Bajar "&amp;TEXT(AR144,"#,##0")&amp;" un.","En rango")))</f>
        <v/>
      </c>
    </row>
    <row r="145">
      <c r="A145">
        <f>IF(Datos!A145="","",Datos!A145)</f>
        <v/>
      </c>
      <c r="B145">
        <f>IF(Datos!A145="","",Datos!B145)</f>
        <v/>
      </c>
      <c r="C145">
        <f>IF(Datos!A145="","",IFERROR(MAX(0,N(Datos!D145)),0))</f>
        <v/>
      </c>
      <c r="D145">
        <f>IF(Datos!A145="","",IFERROR(MAX(0,N(Datos!E145)),0))</f>
        <v/>
      </c>
      <c r="E145">
        <f>IF(Datos!A145="","",IFERROR(MAX(0,N(Datos!F145)),0))</f>
        <v/>
      </c>
      <c r="F145">
        <f>IF(Datos!A145="","",IFERROR(MAX(0,N(Datos!G145)),0))</f>
        <v/>
      </c>
      <c r="G145">
        <f>IF(Datos!A145="","",IFERROR(MAX(0,N(Datos!H145)),0))</f>
        <v/>
      </c>
      <c r="H145">
        <f>IF(Datos!A145="","",IFERROR(MAX(0,N(Datos!I145)),0))</f>
        <v/>
      </c>
      <c r="J145">
        <f>IF(Datos!A145="","",IF(MAX(C$2:C$301)-MIN(C$2:C$301)&lt;0.000000001,0.5,(C145-MIN(C$2:C$301))/(MAX(C$2:C$301)-MIN(C$2:C$301)))+0.000000001)</f>
        <v/>
      </c>
      <c r="K145">
        <f>IF(Datos!A145="","",IF(MAX(D$2:D$301)-MIN(D$2:D$301)&lt;0.000000001,0.5,(D145-MIN(D$2:D$301))/(MAX(D$2:D$301)-MIN(D$2:D$301)))+0.000000001)</f>
        <v/>
      </c>
      <c r="L145">
        <f>IF(Datos!A145="","",IF(MAX(E$2:E$301)-MIN(E$2:E$301)&lt;0.000000001,0.5,(E145-MIN(E$2:E$301))/(MAX(E$2:E$301)-MIN(E$2:E$301)))+0.000000001)</f>
        <v/>
      </c>
      <c r="M145">
        <f>IF(Datos!A145="","",IF(MAX(F$2:F$301)-MIN(F$2:F$301)&lt;0.000000001,0.5,(F145-MIN(F$2:F$301))/(MAX(F$2:F$301)-MIN(F$2:F$301)))+0.000000001)</f>
        <v/>
      </c>
      <c r="N145">
        <f>IF(Datos!A145="","",IF(MAX(G$2:G$301)-MIN(G$2:G$301)&lt;0.000000001,0.5,(G145-MIN(G$2:G$301))/(MAX(G$2:G$301)-MIN(G$2:G$301)))+0.000000001)</f>
        <v/>
      </c>
      <c r="O145">
        <f>IF(Datos!A145="","",IF(MAX(H$2:H$301)-MIN(H$2:H$301)&lt;0.000000001,0.5,(H145-MIN(H$2:H$301))/(MAX(H$2:H$301)-MIN(H$2:H$301)))+0.000000001)</f>
        <v/>
      </c>
      <c r="Q145">
        <f>IF(Datos!A145="","",(J145/SUM(J$2:J$301))*LN(J145/SUM(J$2:J$301)))</f>
        <v/>
      </c>
      <c r="R145">
        <f>IF(Datos!A145="","",(K145/SUM(K$2:K$301))*LN(K145/SUM(K$2:K$301)))</f>
        <v/>
      </c>
      <c r="S145">
        <f>IF(Datos!A145="","",(L145/SUM(L$2:L$301))*LN(L145/SUM(L$2:L$301)))</f>
        <v/>
      </c>
      <c r="T145">
        <f>IF(Datos!A145="","",(M145/SUM(M$2:M$301))*LN(M145/SUM(M$2:M$301)))</f>
        <v/>
      </c>
      <c r="U145">
        <f>IF(Datos!A145="","",(N145/SUM(N$2:N$301))*LN(N145/SUM(N$2:N$301)))</f>
        <v/>
      </c>
      <c r="V145">
        <f>IF(Datos!A145="","",(O145/SUM(O$2:O$301))*LN(O145/SUM(O$2:O$301)))</f>
        <v/>
      </c>
      <c r="X145">
        <f>IF(Datos!A145="","",IF(SUMSQ(C$2:C$301)=0,0,C145/SQRT(SUMSQ(C$2:C$301)))*$BE$2)</f>
        <v/>
      </c>
      <c r="Y145">
        <f>IF(Datos!A145="","",IF(SUMSQ(D$2:D$301)=0,0,D145/SQRT(SUMSQ(D$2:D$301)))*$BE$3)</f>
        <v/>
      </c>
      <c r="Z145">
        <f>IF(Datos!A145="","",IF(SUMSQ(E$2:E$301)=0,0,E145/SQRT(SUMSQ(E$2:E$301)))*$BE$4)</f>
        <v/>
      </c>
      <c r="AA145">
        <f>IF(Datos!A145="","",IF(SUMSQ(F$2:F$301)=0,0,F145/SQRT(SUMSQ(F$2:F$301)))*$BE$5)</f>
        <v/>
      </c>
      <c r="AB145">
        <f>IF(Datos!A145="","",IF(SUMSQ(G$2:G$301)=0,0,G145/SQRT(SUMSQ(G$2:G$301)))*$BE$6)</f>
        <v/>
      </c>
      <c r="AC145">
        <f>IF(Datos!A145="","",IF(SUMSQ(H$2:H$301)=0,0,H145/SQRT(SUMSQ(H$2:H$301)))*$BE$7)</f>
        <v/>
      </c>
      <c r="AE145">
        <f>IF(Datos!A145="","",SQRT(SUMXMY2(X145:AC145,$X$303:$AC$303)))</f>
        <v/>
      </c>
      <c r="AF145">
        <f>IF(Datos!A145="","",SQRT(SUMXMY2(X145:AC145,$X$304:$AC$304)))</f>
        <v/>
      </c>
      <c r="AG145" s="11">
        <f>IF(Datos!A145="","",IF(AE145+AF145&lt;0.000000001,0.5,AF145/(AE145+AF145)))</f>
        <v/>
      </c>
      <c r="AH145">
        <f>IF(Datos!A145="","",AG145*MAX(C145*D145,1))</f>
        <v/>
      </c>
      <c r="AI145">
        <f>IF(Datos!A145="","",SUMIF($AH$2:$AH$301,"&gt;="&amp;AH145,$AH$2:$AH$301)/SUM($AH$2:$AH$301))</f>
        <v/>
      </c>
      <c r="AJ145" s="12">
        <f>IF(Datos!A145="","",IF(AI145&lt;=Parametros!$B$13,"A",IF(AI145&lt;=Parametros!$B$14,"B","C")))</f>
        <v/>
      </c>
      <c r="AK145" s="13">
        <f>IF(Datos!A145="","",VLOOKUP(AJ145,Parametros!$A$8:$C$10,2,FALSE))</f>
        <v/>
      </c>
      <c r="AL145">
        <f>IF(Datos!A145="","",VLOOKUP(AJ145,Parametros!$A$8:$C$10,3,FALSE))</f>
        <v/>
      </c>
      <c r="AM145">
        <f>IF(Datos!A145="","",NORMSINV(AK145))</f>
        <v/>
      </c>
      <c r="AN145">
        <f>IF(Datos!A145="","",D145/Parametros!$B$4)</f>
        <v/>
      </c>
      <c r="AO145">
        <f>IF(Datos!A145="","",MAX(0,ROUNDUP(AM145*(AN145*Parametros!$B$3)*SQRT((AL145+E145)),0)))</f>
        <v/>
      </c>
      <c r="AP145">
        <f>IF(Datos!A145="","",MAX(1,ROUNDUP(AN145*(AL145+E145)+AM145*(AN145*Parametros!$B$3)*SQRT((AL145+E145)),0)))</f>
        <v/>
      </c>
      <c r="AQ145">
        <f>IF(Datos!A145="","",IF(Datos!J145="","",Datos!J145))</f>
        <v/>
      </c>
      <c r="AR145">
        <f>IF(OR(Datos!A145="",AQ145=""),"",MAX(0,AQ145-AP145))</f>
        <v/>
      </c>
      <c r="AS145" s="10">
        <f>IF(OR(Datos!A145="",AQ145=""),"",AR145*C145)</f>
        <v/>
      </c>
      <c r="AT145" s="12">
        <f>IF(OR(Datos!A145="",AQ145=""),"",IF(AQ145&lt;AO145,"SI",""))</f>
        <v/>
      </c>
      <c r="AU145">
        <f>IF(Datos!A145="","",IF(AT145="SI","Reponer ahora",IF(AND(AQ145&lt;&gt;"",AR145&gt;0),"Bajar "&amp;TEXT(AR145,"#,##0")&amp;" un.","En rango")))</f>
        <v/>
      </c>
    </row>
    <row r="146">
      <c r="A146">
        <f>IF(Datos!A146="","",Datos!A146)</f>
        <v/>
      </c>
      <c r="B146">
        <f>IF(Datos!A146="","",Datos!B146)</f>
        <v/>
      </c>
      <c r="C146">
        <f>IF(Datos!A146="","",IFERROR(MAX(0,N(Datos!D146)),0))</f>
        <v/>
      </c>
      <c r="D146">
        <f>IF(Datos!A146="","",IFERROR(MAX(0,N(Datos!E146)),0))</f>
        <v/>
      </c>
      <c r="E146">
        <f>IF(Datos!A146="","",IFERROR(MAX(0,N(Datos!F146)),0))</f>
        <v/>
      </c>
      <c r="F146">
        <f>IF(Datos!A146="","",IFERROR(MAX(0,N(Datos!G146)),0))</f>
        <v/>
      </c>
      <c r="G146">
        <f>IF(Datos!A146="","",IFERROR(MAX(0,N(Datos!H146)),0))</f>
        <v/>
      </c>
      <c r="H146">
        <f>IF(Datos!A146="","",IFERROR(MAX(0,N(Datos!I146)),0))</f>
        <v/>
      </c>
      <c r="J146">
        <f>IF(Datos!A146="","",IF(MAX(C$2:C$301)-MIN(C$2:C$301)&lt;0.000000001,0.5,(C146-MIN(C$2:C$301))/(MAX(C$2:C$301)-MIN(C$2:C$301)))+0.000000001)</f>
        <v/>
      </c>
      <c r="K146">
        <f>IF(Datos!A146="","",IF(MAX(D$2:D$301)-MIN(D$2:D$301)&lt;0.000000001,0.5,(D146-MIN(D$2:D$301))/(MAX(D$2:D$301)-MIN(D$2:D$301)))+0.000000001)</f>
        <v/>
      </c>
      <c r="L146">
        <f>IF(Datos!A146="","",IF(MAX(E$2:E$301)-MIN(E$2:E$301)&lt;0.000000001,0.5,(E146-MIN(E$2:E$301))/(MAX(E$2:E$301)-MIN(E$2:E$301)))+0.000000001)</f>
        <v/>
      </c>
      <c r="M146">
        <f>IF(Datos!A146="","",IF(MAX(F$2:F$301)-MIN(F$2:F$301)&lt;0.000000001,0.5,(F146-MIN(F$2:F$301))/(MAX(F$2:F$301)-MIN(F$2:F$301)))+0.000000001)</f>
        <v/>
      </c>
      <c r="N146">
        <f>IF(Datos!A146="","",IF(MAX(G$2:G$301)-MIN(G$2:G$301)&lt;0.000000001,0.5,(G146-MIN(G$2:G$301))/(MAX(G$2:G$301)-MIN(G$2:G$301)))+0.000000001)</f>
        <v/>
      </c>
      <c r="O146">
        <f>IF(Datos!A146="","",IF(MAX(H$2:H$301)-MIN(H$2:H$301)&lt;0.000000001,0.5,(H146-MIN(H$2:H$301))/(MAX(H$2:H$301)-MIN(H$2:H$301)))+0.000000001)</f>
        <v/>
      </c>
      <c r="Q146">
        <f>IF(Datos!A146="","",(J146/SUM(J$2:J$301))*LN(J146/SUM(J$2:J$301)))</f>
        <v/>
      </c>
      <c r="R146">
        <f>IF(Datos!A146="","",(K146/SUM(K$2:K$301))*LN(K146/SUM(K$2:K$301)))</f>
        <v/>
      </c>
      <c r="S146">
        <f>IF(Datos!A146="","",(L146/SUM(L$2:L$301))*LN(L146/SUM(L$2:L$301)))</f>
        <v/>
      </c>
      <c r="T146">
        <f>IF(Datos!A146="","",(M146/SUM(M$2:M$301))*LN(M146/SUM(M$2:M$301)))</f>
        <v/>
      </c>
      <c r="U146">
        <f>IF(Datos!A146="","",(N146/SUM(N$2:N$301))*LN(N146/SUM(N$2:N$301)))</f>
        <v/>
      </c>
      <c r="V146">
        <f>IF(Datos!A146="","",(O146/SUM(O$2:O$301))*LN(O146/SUM(O$2:O$301)))</f>
        <v/>
      </c>
      <c r="X146">
        <f>IF(Datos!A146="","",IF(SUMSQ(C$2:C$301)=0,0,C146/SQRT(SUMSQ(C$2:C$301)))*$BE$2)</f>
        <v/>
      </c>
      <c r="Y146">
        <f>IF(Datos!A146="","",IF(SUMSQ(D$2:D$301)=0,0,D146/SQRT(SUMSQ(D$2:D$301)))*$BE$3)</f>
        <v/>
      </c>
      <c r="Z146">
        <f>IF(Datos!A146="","",IF(SUMSQ(E$2:E$301)=0,0,E146/SQRT(SUMSQ(E$2:E$301)))*$BE$4)</f>
        <v/>
      </c>
      <c r="AA146">
        <f>IF(Datos!A146="","",IF(SUMSQ(F$2:F$301)=0,0,F146/SQRT(SUMSQ(F$2:F$301)))*$BE$5)</f>
        <v/>
      </c>
      <c r="AB146">
        <f>IF(Datos!A146="","",IF(SUMSQ(G$2:G$301)=0,0,G146/SQRT(SUMSQ(G$2:G$301)))*$BE$6)</f>
        <v/>
      </c>
      <c r="AC146">
        <f>IF(Datos!A146="","",IF(SUMSQ(H$2:H$301)=0,0,H146/SQRT(SUMSQ(H$2:H$301)))*$BE$7)</f>
        <v/>
      </c>
      <c r="AE146">
        <f>IF(Datos!A146="","",SQRT(SUMXMY2(X146:AC146,$X$303:$AC$303)))</f>
        <v/>
      </c>
      <c r="AF146">
        <f>IF(Datos!A146="","",SQRT(SUMXMY2(X146:AC146,$X$304:$AC$304)))</f>
        <v/>
      </c>
      <c r="AG146" s="11">
        <f>IF(Datos!A146="","",IF(AE146+AF146&lt;0.000000001,0.5,AF146/(AE146+AF146)))</f>
        <v/>
      </c>
      <c r="AH146">
        <f>IF(Datos!A146="","",AG146*MAX(C146*D146,1))</f>
        <v/>
      </c>
      <c r="AI146">
        <f>IF(Datos!A146="","",SUMIF($AH$2:$AH$301,"&gt;="&amp;AH146,$AH$2:$AH$301)/SUM($AH$2:$AH$301))</f>
        <v/>
      </c>
      <c r="AJ146" s="12">
        <f>IF(Datos!A146="","",IF(AI146&lt;=Parametros!$B$13,"A",IF(AI146&lt;=Parametros!$B$14,"B","C")))</f>
        <v/>
      </c>
      <c r="AK146" s="13">
        <f>IF(Datos!A146="","",VLOOKUP(AJ146,Parametros!$A$8:$C$10,2,FALSE))</f>
        <v/>
      </c>
      <c r="AL146">
        <f>IF(Datos!A146="","",VLOOKUP(AJ146,Parametros!$A$8:$C$10,3,FALSE))</f>
        <v/>
      </c>
      <c r="AM146">
        <f>IF(Datos!A146="","",NORMSINV(AK146))</f>
        <v/>
      </c>
      <c r="AN146">
        <f>IF(Datos!A146="","",D146/Parametros!$B$4)</f>
        <v/>
      </c>
      <c r="AO146">
        <f>IF(Datos!A146="","",MAX(0,ROUNDUP(AM146*(AN146*Parametros!$B$3)*SQRT((AL146+E146)),0)))</f>
        <v/>
      </c>
      <c r="AP146">
        <f>IF(Datos!A146="","",MAX(1,ROUNDUP(AN146*(AL146+E146)+AM146*(AN146*Parametros!$B$3)*SQRT((AL146+E146)),0)))</f>
        <v/>
      </c>
      <c r="AQ146">
        <f>IF(Datos!A146="","",IF(Datos!J146="","",Datos!J146))</f>
        <v/>
      </c>
      <c r="AR146">
        <f>IF(OR(Datos!A146="",AQ146=""),"",MAX(0,AQ146-AP146))</f>
        <v/>
      </c>
      <c r="AS146" s="10">
        <f>IF(OR(Datos!A146="",AQ146=""),"",AR146*C146)</f>
        <v/>
      </c>
      <c r="AT146" s="12">
        <f>IF(OR(Datos!A146="",AQ146=""),"",IF(AQ146&lt;AO146,"SI",""))</f>
        <v/>
      </c>
      <c r="AU146">
        <f>IF(Datos!A146="","",IF(AT146="SI","Reponer ahora",IF(AND(AQ146&lt;&gt;"",AR146&gt;0),"Bajar "&amp;TEXT(AR146,"#,##0")&amp;" un.","En rango")))</f>
        <v/>
      </c>
    </row>
    <row r="147">
      <c r="A147">
        <f>IF(Datos!A147="","",Datos!A147)</f>
        <v/>
      </c>
      <c r="B147">
        <f>IF(Datos!A147="","",Datos!B147)</f>
        <v/>
      </c>
      <c r="C147">
        <f>IF(Datos!A147="","",IFERROR(MAX(0,N(Datos!D147)),0))</f>
        <v/>
      </c>
      <c r="D147">
        <f>IF(Datos!A147="","",IFERROR(MAX(0,N(Datos!E147)),0))</f>
        <v/>
      </c>
      <c r="E147">
        <f>IF(Datos!A147="","",IFERROR(MAX(0,N(Datos!F147)),0))</f>
        <v/>
      </c>
      <c r="F147">
        <f>IF(Datos!A147="","",IFERROR(MAX(0,N(Datos!G147)),0))</f>
        <v/>
      </c>
      <c r="G147">
        <f>IF(Datos!A147="","",IFERROR(MAX(0,N(Datos!H147)),0))</f>
        <v/>
      </c>
      <c r="H147">
        <f>IF(Datos!A147="","",IFERROR(MAX(0,N(Datos!I147)),0))</f>
        <v/>
      </c>
      <c r="J147">
        <f>IF(Datos!A147="","",IF(MAX(C$2:C$301)-MIN(C$2:C$301)&lt;0.000000001,0.5,(C147-MIN(C$2:C$301))/(MAX(C$2:C$301)-MIN(C$2:C$301)))+0.000000001)</f>
        <v/>
      </c>
      <c r="K147">
        <f>IF(Datos!A147="","",IF(MAX(D$2:D$301)-MIN(D$2:D$301)&lt;0.000000001,0.5,(D147-MIN(D$2:D$301))/(MAX(D$2:D$301)-MIN(D$2:D$301)))+0.000000001)</f>
        <v/>
      </c>
      <c r="L147">
        <f>IF(Datos!A147="","",IF(MAX(E$2:E$301)-MIN(E$2:E$301)&lt;0.000000001,0.5,(E147-MIN(E$2:E$301))/(MAX(E$2:E$301)-MIN(E$2:E$301)))+0.000000001)</f>
        <v/>
      </c>
      <c r="M147">
        <f>IF(Datos!A147="","",IF(MAX(F$2:F$301)-MIN(F$2:F$301)&lt;0.000000001,0.5,(F147-MIN(F$2:F$301))/(MAX(F$2:F$301)-MIN(F$2:F$301)))+0.000000001)</f>
        <v/>
      </c>
      <c r="N147">
        <f>IF(Datos!A147="","",IF(MAX(G$2:G$301)-MIN(G$2:G$301)&lt;0.000000001,0.5,(G147-MIN(G$2:G$301))/(MAX(G$2:G$301)-MIN(G$2:G$301)))+0.000000001)</f>
        <v/>
      </c>
      <c r="O147">
        <f>IF(Datos!A147="","",IF(MAX(H$2:H$301)-MIN(H$2:H$301)&lt;0.000000001,0.5,(H147-MIN(H$2:H$301))/(MAX(H$2:H$301)-MIN(H$2:H$301)))+0.000000001)</f>
        <v/>
      </c>
      <c r="Q147">
        <f>IF(Datos!A147="","",(J147/SUM(J$2:J$301))*LN(J147/SUM(J$2:J$301)))</f>
        <v/>
      </c>
      <c r="R147">
        <f>IF(Datos!A147="","",(K147/SUM(K$2:K$301))*LN(K147/SUM(K$2:K$301)))</f>
        <v/>
      </c>
      <c r="S147">
        <f>IF(Datos!A147="","",(L147/SUM(L$2:L$301))*LN(L147/SUM(L$2:L$301)))</f>
        <v/>
      </c>
      <c r="T147">
        <f>IF(Datos!A147="","",(M147/SUM(M$2:M$301))*LN(M147/SUM(M$2:M$301)))</f>
        <v/>
      </c>
      <c r="U147">
        <f>IF(Datos!A147="","",(N147/SUM(N$2:N$301))*LN(N147/SUM(N$2:N$301)))</f>
        <v/>
      </c>
      <c r="V147">
        <f>IF(Datos!A147="","",(O147/SUM(O$2:O$301))*LN(O147/SUM(O$2:O$301)))</f>
        <v/>
      </c>
      <c r="X147">
        <f>IF(Datos!A147="","",IF(SUMSQ(C$2:C$301)=0,0,C147/SQRT(SUMSQ(C$2:C$301)))*$BE$2)</f>
        <v/>
      </c>
      <c r="Y147">
        <f>IF(Datos!A147="","",IF(SUMSQ(D$2:D$301)=0,0,D147/SQRT(SUMSQ(D$2:D$301)))*$BE$3)</f>
        <v/>
      </c>
      <c r="Z147">
        <f>IF(Datos!A147="","",IF(SUMSQ(E$2:E$301)=0,0,E147/SQRT(SUMSQ(E$2:E$301)))*$BE$4)</f>
        <v/>
      </c>
      <c r="AA147">
        <f>IF(Datos!A147="","",IF(SUMSQ(F$2:F$301)=0,0,F147/SQRT(SUMSQ(F$2:F$301)))*$BE$5)</f>
        <v/>
      </c>
      <c r="AB147">
        <f>IF(Datos!A147="","",IF(SUMSQ(G$2:G$301)=0,0,G147/SQRT(SUMSQ(G$2:G$301)))*$BE$6)</f>
        <v/>
      </c>
      <c r="AC147">
        <f>IF(Datos!A147="","",IF(SUMSQ(H$2:H$301)=0,0,H147/SQRT(SUMSQ(H$2:H$301)))*$BE$7)</f>
        <v/>
      </c>
      <c r="AE147">
        <f>IF(Datos!A147="","",SQRT(SUMXMY2(X147:AC147,$X$303:$AC$303)))</f>
        <v/>
      </c>
      <c r="AF147">
        <f>IF(Datos!A147="","",SQRT(SUMXMY2(X147:AC147,$X$304:$AC$304)))</f>
        <v/>
      </c>
      <c r="AG147" s="11">
        <f>IF(Datos!A147="","",IF(AE147+AF147&lt;0.000000001,0.5,AF147/(AE147+AF147)))</f>
        <v/>
      </c>
      <c r="AH147">
        <f>IF(Datos!A147="","",AG147*MAX(C147*D147,1))</f>
        <v/>
      </c>
      <c r="AI147">
        <f>IF(Datos!A147="","",SUMIF($AH$2:$AH$301,"&gt;="&amp;AH147,$AH$2:$AH$301)/SUM($AH$2:$AH$301))</f>
        <v/>
      </c>
      <c r="AJ147" s="12">
        <f>IF(Datos!A147="","",IF(AI147&lt;=Parametros!$B$13,"A",IF(AI147&lt;=Parametros!$B$14,"B","C")))</f>
        <v/>
      </c>
      <c r="AK147" s="13">
        <f>IF(Datos!A147="","",VLOOKUP(AJ147,Parametros!$A$8:$C$10,2,FALSE))</f>
        <v/>
      </c>
      <c r="AL147">
        <f>IF(Datos!A147="","",VLOOKUP(AJ147,Parametros!$A$8:$C$10,3,FALSE))</f>
        <v/>
      </c>
      <c r="AM147">
        <f>IF(Datos!A147="","",NORMSINV(AK147))</f>
        <v/>
      </c>
      <c r="AN147">
        <f>IF(Datos!A147="","",D147/Parametros!$B$4)</f>
        <v/>
      </c>
      <c r="AO147">
        <f>IF(Datos!A147="","",MAX(0,ROUNDUP(AM147*(AN147*Parametros!$B$3)*SQRT((AL147+E147)),0)))</f>
        <v/>
      </c>
      <c r="AP147">
        <f>IF(Datos!A147="","",MAX(1,ROUNDUP(AN147*(AL147+E147)+AM147*(AN147*Parametros!$B$3)*SQRT((AL147+E147)),0)))</f>
        <v/>
      </c>
      <c r="AQ147">
        <f>IF(Datos!A147="","",IF(Datos!J147="","",Datos!J147))</f>
        <v/>
      </c>
      <c r="AR147">
        <f>IF(OR(Datos!A147="",AQ147=""),"",MAX(0,AQ147-AP147))</f>
        <v/>
      </c>
      <c r="AS147" s="10">
        <f>IF(OR(Datos!A147="",AQ147=""),"",AR147*C147)</f>
        <v/>
      </c>
      <c r="AT147" s="12">
        <f>IF(OR(Datos!A147="",AQ147=""),"",IF(AQ147&lt;AO147,"SI",""))</f>
        <v/>
      </c>
      <c r="AU147">
        <f>IF(Datos!A147="","",IF(AT147="SI","Reponer ahora",IF(AND(AQ147&lt;&gt;"",AR147&gt;0),"Bajar "&amp;TEXT(AR147,"#,##0")&amp;" un.","En rango")))</f>
        <v/>
      </c>
    </row>
    <row r="148">
      <c r="A148">
        <f>IF(Datos!A148="","",Datos!A148)</f>
        <v/>
      </c>
      <c r="B148">
        <f>IF(Datos!A148="","",Datos!B148)</f>
        <v/>
      </c>
      <c r="C148">
        <f>IF(Datos!A148="","",IFERROR(MAX(0,N(Datos!D148)),0))</f>
        <v/>
      </c>
      <c r="D148">
        <f>IF(Datos!A148="","",IFERROR(MAX(0,N(Datos!E148)),0))</f>
        <v/>
      </c>
      <c r="E148">
        <f>IF(Datos!A148="","",IFERROR(MAX(0,N(Datos!F148)),0))</f>
        <v/>
      </c>
      <c r="F148">
        <f>IF(Datos!A148="","",IFERROR(MAX(0,N(Datos!G148)),0))</f>
        <v/>
      </c>
      <c r="G148">
        <f>IF(Datos!A148="","",IFERROR(MAX(0,N(Datos!H148)),0))</f>
        <v/>
      </c>
      <c r="H148">
        <f>IF(Datos!A148="","",IFERROR(MAX(0,N(Datos!I148)),0))</f>
        <v/>
      </c>
      <c r="J148">
        <f>IF(Datos!A148="","",IF(MAX(C$2:C$301)-MIN(C$2:C$301)&lt;0.000000001,0.5,(C148-MIN(C$2:C$301))/(MAX(C$2:C$301)-MIN(C$2:C$301)))+0.000000001)</f>
        <v/>
      </c>
      <c r="K148">
        <f>IF(Datos!A148="","",IF(MAX(D$2:D$301)-MIN(D$2:D$301)&lt;0.000000001,0.5,(D148-MIN(D$2:D$301))/(MAX(D$2:D$301)-MIN(D$2:D$301)))+0.000000001)</f>
        <v/>
      </c>
      <c r="L148">
        <f>IF(Datos!A148="","",IF(MAX(E$2:E$301)-MIN(E$2:E$301)&lt;0.000000001,0.5,(E148-MIN(E$2:E$301))/(MAX(E$2:E$301)-MIN(E$2:E$301)))+0.000000001)</f>
        <v/>
      </c>
      <c r="M148">
        <f>IF(Datos!A148="","",IF(MAX(F$2:F$301)-MIN(F$2:F$301)&lt;0.000000001,0.5,(F148-MIN(F$2:F$301))/(MAX(F$2:F$301)-MIN(F$2:F$301)))+0.000000001)</f>
        <v/>
      </c>
      <c r="N148">
        <f>IF(Datos!A148="","",IF(MAX(G$2:G$301)-MIN(G$2:G$301)&lt;0.000000001,0.5,(G148-MIN(G$2:G$301))/(MAX(G$2:G$301)-MIN(G$2:G$301)))+0.000000001)</f>
        <v/>
      </c>
      <c r="O148">
        <f>IF(Datos!A148="","",IF(MAX(H$2:H$301)-MIN(H$2:H$301)&lt;0.000000001,0.5,(H148-MIN(H$2:H$301))/(MAX(H$2:H$301)-MIN(H$2:H$301)))+0.000000001)</f>
        <v/>
      </c>
      <c r="Q148">
        <f>IF(Datos!A148="","",(J148/SUM(J$2:J$301))*LN(J148/SUM(J$2:J$301)))</f>
        <v/>
      </c>
      <c r="R148">
        <f>IF(Datos!A148="","",(K148/SUM(K$2:K$301))*LN(K148/SUM(K$2:K$301)))</f>
        <v/>
      </c>
      <c r="S148">
        <f>IF(Datos!A148="","",(L148/SUM(L$2:L$301))*LN(L148/SUM(L$2:L$301)))</f>
        <v/>
      </c>
      <c r="T148">
        <f>IF(Datos!A148="","",(M148/SUM(M$2:M$301))*LN(M148/SUM(M$2:M$301)))</f>
        <v/>
      </c>
      <c r="U148">
        <f>IF(Datos!A148="","",(N148/SUM(N$2:N$301))*LN(N148/SUM(N$2:N$301)))</f>
        <v/>
      </c>
      <c r="V148">
        <f>IF(Datos!A148="","",(O148/SUM(O$2:O$301))*LN(O148/SUM(O$2:O$301)))</f>
        <v/>
      </c>
      <c r="X148">
        <f>IF(Datos!A148="","",IF(SUMSQ(C$2:C$301)=0,0,C148/SQRT(SUMSQ(C$2:C$301)))*$BE$2)</f>
        <v/>
      </c>
      <c r="Y148">
        <f>IF(Datos!A148="","",IF(SUMSQ(D$2:D$301)=0,0,D148/SQRT(SUMSQ(D$2:D$301)))*$BE$3)</f>
        <v/>
      </c>
      <c r="Z148">
        <f>IF(Datos!A148="","",IF(SUMSQ(E$2:E$301)=0,0,E148/SQRT(SUMSQ(E$2:E$301)))*$BE$4)</f>
        <v/>
      </c>
      <c r="AA148">
        <f>IF(Datos!A148="","",IF(SUMSQ(F$2:F$301)=0,0,F148/SQRT(SUMSQ(F$2:F$301)))*$BE$5)</f>
        <v/>
      </c>
      <c r="AB148">
        <f>IF(Datos!A148="","",IF(SUMSQ(G$2:G$301)=0,0,G148/SQRT(SUMSQ(G$2:G$301)))*$BE$6)</f>
        <v/>
      </c>
      <c r="AC148">
        <f>IF(Datos!A148="","",IF(SUMSQ(H$2:H$301)=0,0,H148/SQRT(SUMSQ(H$2:H$301)))*$BE$7)</f>
        <v/>
      </c>
      <c r="AE148">
        <f>IF(Datos!A148="","",SQRT(SUMXMY2(X148:AC148,$X$303:$AC$303)))</f>
        <v/>
      </c>
      <c r="AF148">
        <f>IF(Datos!A148="","",SQRT(SUMXMY2(X148:AC148,$X$304:$AC$304)))</f>
        <v/>
      </c>
      <c r="AG148" s="11">
        <f>IF(Datos!A148="","",IF(AE148+AF148&lt;0.000000001,0.5,AF148/(AE148+AF148)))</f>
        <v/>
      </c>
      <c r="AH148">
        <f>IF(Datos!A148="","",AG148*MAX(C148*D148,1))</f>
        <v/>
      </c>
      <c r="AI148">
        <f>IF(Datos!A148="","",SUMIF($AH$2:$AH$301,"&gt;="&amp;AH148,$AH$2:$AH$301)/SUM($AH$2:$AH$301))</f>
        <v/>
      </c>
      <c r="AJ148" s="12">
        <f>IF(Datos!A148="","",IF(AI148&lt;=Parametros!$B$13,"A",IF(AI148&lt;=Parametros!$B$14,"B","C")))</f>
        <v/>
      </c>
      <c r="AK148" s="13">
        <f>IF(Datos!A148="","",VLOOKUP(AJ148,Parametros!$A$8:$C$10,2,FALSE))</f>
        <v/>
      </c>
      <c r="AL148">
        <f>IF(Datos!A148="","",VLOOKUP(AJ148,Parametros!$A$8:$C$10,3,FALSE))</f>
        <v/>
      </c>
      <c r="AM148">
        <f>IF(Datos!A148="","",NORMSINV(AK148))</f>
        <v/>
      </c>
      <c r="AN148">
        <f>IF(Datos!A148="","",D148/Parametros!$B$4)</f>
        <v/>
      </c>
      <c r="AO148">
        <f>IF(Datos!A148="","",MAX(0,ROUNDUP(AM148*(AN148*Parametros!$B$3)*SQRT((AL148+E148)),0)))</f>
        <v/>
      </c>
      <c r="AP148">
        <f>IF(Datos!A148="","",MAX(1,ROUNDUP(AN148*(AL148+E148)+AM148*(AN148*Parametros!$B$3)*SQRT((AL148+E148)),0)))</f>
        <v/>
      </c>
      <c r="AQ148">
        <f>IF(Datos!A148="","",IF(Datos!J148="","",Datos!J148))</f>
        <v/>
      </c>
      <c r="AR148">
        <f>IF(OR(Datos!A148="",AQ148=""),"",MAX(0,AQ148-AP148))</f>
        <v/>
      </c>
      <c r="AS148" s="10">
        <f>IF(OR(Datos!A148="",AQ148=""),"",AR148*C148)</f>
        <v/>
      </c>
      <c r="AT148" s="12">
        <f>IF(OR(Datos!A148="",AQ148=""),"",IF(AQ148&lt;AO148,"SI",""))</f>
        <v/>
      </c>
      <c r="AU148">
        <f>IF(Datos!A148="","",IF(AT148="SI","Reponer ahora",IF(AND(AQ148&lt;&gt;"",AR148&gt;0),"Bajar "&amp;TEXT(AR148,"#,##0")&amp;" un.","En rango")))</f>
        <v/>
      </c>
    </row>
    <row r="149">
      <c r="A149">
        <f>IF(Datos!A149="","",Datos!A149)</f>
        <v/>
      </c>
      <c r="B149">
        <f>IF(Datos!A149="","",Datos!B149)</f>
        <v/>
      </c>
      <c r="C149">
        <f>IF(Datos!A149="","",IFERROR(MAX(0,N(Datos!D149)),0))</f>
        <v/>
      </c>
      <c r="D149">
        <f>IF(Datos!A149="","",IFERROR(MAX(0,N(Datos!E149)),0))</f>
        <v/>
      </c>
      <c r="E149">
        <f>IF(Datos!A149="","",IFERROR(MAX(0,N(Datos!F149)),0))</f>
        <v/>
      </c>
      <c r="F149">
        <f>IF(Datos!A149="","",IFERROR(MAX(0,N(Datos!G149)),0))</f>
        <v/>
      </c>
      <c r="G149">
        <f>IF(Datos!A149="","",IFERROR(MAX(0,N(Datos!H149)),0))</f>
        <v/>
      </c>
      <c r="H149">
        <f>IF(Datos!A149="","",IFERROR(MAX(0,N(Datos!I149)),0))</f>
        <v/>
      </c>
      <c r="J149">
        <f>IF(Datos!A149="","",IF(MAX(C$2:C$301)-MIN(C$2:C$301)&lt;0.000000001,0.5,(C149-MIN(C$2:C$301))/(MAX(C$2:C$301)-MIN(C$2:C$301)))+0.000000001)</f>
        <v/>
      </c>
      <c r="K149">
        <f>IF(Datos!A149="","",IF(MAX(D$2:D$301)-MIN(D$2:D$301)&lt;0.000000001,0.5,(D149-MIN(D$2:D$301))/(MAX(D$2:D$301)-MIN(D$2:D$301)))+0.000000001)</f>
        <v/>
      </c>
      <c r="L149">
        <f>IF(Datos!A149="","",IF(MAX(E$2:E$301)-MIN(E$2:E$301)&lt;0.000000001,0.5,(E149-MIN(E$2:E$301))/(MAX(E$2:E$301)-MIN(E$2:E$301)))+0.000000001)</f>
        <v/>
      </c>
      <c r="M149">
        <f>IF(Datos!A149="","",IF(MAX(F$2:F$301)-MIN(F$2:F$301)&lt;0.000000001,0.5,(F149-MIN(F$2:F$301))/(MAX(F$2:F$301)-MIN(F$2:F$301)))+0.000000001)</f>
        <v/>
      </c>
      <c r="N149">
        <f>IF(Datos!A149="","",IF(MAX(G$2:G$301)-MIN(G$2:G$301)&lt;0.000000001,0.5,(G149-MIN(G$2:G$301))/(MAX(G$2:G$301)-MIN(G$2:G$301)))+0.000000001)</f>
        <v/>
      </c>
      <c r="O149">
        <f>IF(Datos!A149="","",IF(MAX(H$2:H$301)-MIN(H$2:H$301)&lt;0.000000001,0.5,(H149-MIN(H$2:H$301))/(MAX(H$2:H$301)-MIN(H$2:H$301)))+0.000000001)</f>
        <v/>
      </c>
      <c r="Q149">
        <f>IF(Datos!A149="","",(J149/SUM(J$2:J$301))*LN(J149/SUM(J$2:J$301)))</f>
        <v/>
      </c>
      <c r="R149">
        <f>IF(Datos!A149="","",(K149/SUM(K$2:K$301))*LN(K149/SUM(K$2:K$301)))</f>
        <v/>
      </c>
      <c r="S149">
        <f>IF(Datos!A149="","",(L149/SUM(L$2:L$301))*LN(L149/SUM(L$2:L$301)))</f>
        <v/>
      </c>
      <c r="T149">
        <f>IF(Datos!A149="","",(M149/SUM(M$2:M$301))*LN(M149/SUM(M$2:M$301)))</f>
        <v/>
      </c>
      <c r="U149">
        <f>IF(Datos!A149="","",(N149/SUM(N$2:N$301))*LN(N149/SUM(N$2:N$301)))</f>
        <v/>
      </c>
      <c r="V149">
        <f>IF(Datos!A149="","",(O149/SUM(O$2:O$301))*LN(O149/SUM(O$2:O$301)))</f>
        <v/>
      </c>
      <c r="X149">
        <f>IF(Datos!A149="","",IF(SUMSQ(C$2:C$301)=0,0,C149/SQRT(SUMSQ(C$2:C$301)))*$BE$2)</f>
        <v/>
      </c>
      <c r="Y149">
        <f>IF(Datos!A149="","",IF(SUMSQ(D$2:D$301)=0,0,D149/SQRT(SUMSQ(D$2:D$301)))*$BE$3)</f>
        <v/>
      </c>
      <c r="Z149">
        <f>IF(Datos!A149="","",IF(SUMSQ(E$2:E$301)=0,0,E149/SQRT(SUMSQ(E$2:E$301)))*$BE$4)</f>
        <v/>
      </c>
      <c r="AA149">
        <f>IF(Datos!A149="","",IF(SUMSQ(F$2:F$301)=0,0,F149/SQRT(SUMSQ(F$2:F$301)))*$BE$5)</f>
        <v/>
      </c>
      <c r="AB149">
        <f>IF(Datos!A149="","",IF(SUMSQ(G$2:G$301)=0,0,G149/SQRT(SUMSQ(G$2:G$301)))*$BE$6)</f>
        <v/>
      </c>
      <c r="AC149">
        <f>IF(Datos!A149="","",IF(SUMSQ(H$2:H$301)=0,0,H149/SQRT(SUMSQ(H$2:H$301)))*$BE$7)</f>
        <v/>
      </c>
      <c r="AE149">
        <f>IF(Datos!A149="","",SQRT(SUMXMY2(X149:AC149,$X$303:$AC$303)))</f>
        <v/>
      </c>
      <c r="AF149">
        <f>IF(Datos!A149="","",SQRT(SUMXMY2(X149:AC149,$X$304:$AC$304)))</f>
        <v/>
      </c>
      <c r="AG149" s="11">
        <f>IF(Datos!A149="","",IF(AE149+AF149&lt;0.000000001,0.5,AF149/(AE149+AF149)))</f>
        <v/>
      </c>
      <c r="AH149">
        <f>IF(Datos!A149="","",AG149*MAX(C149*D149,1))</f>
        <v/>
      </c>
      <c r="AI149">
        <f>IF(Datos!A149="","",SUMIF($AH$2:$AH$301,"&gt;="&amp;AH149,$AH$2:$AH$301)/SUM($AH$2:$AH$301))</f>
        <v/>
      </c>
      <c r="AJ149" s="12">
        <f>IF(Datos!A149="","",IF(AI149&lt;=Parametros!$B$13,"A",IF(AI149&lt;=Parametros!$B$14,"B","C")))</f>
        <v/>
      </c>
      <c r="AK149" s="13">
        <f>IF(Datos!A149="","",VLOOKUP(AJ149,Parametros!$A$8:$C$10,2,FALSE))</f>
        <v/>
      </c>
      <c r="AL149">
        <f>IF(Datos!A149="","",VLOOKUP(AJ149,Parametros!$A$8:$C$10,3,FALSE))</f>
        <v/>
      </c>
      <c r="AM149">
        <f>IF(Datos!A149="","",NORMSINV(AK149))</f>
        <v/>
      </c>
      <c r="AN149">
        <f>IF(Datos!A149="","",D149/Parametros!$B$4)</f>
        <v/>
      </c>
      <c r="AO149">
        <f>IF(Datos!A149="","",MAX(0,ROUNDUP(AM149*(AN149*Parametros!$B$3)*SQRT((AL149+E149)),0)))</f>
        <v/>
      </c>
      <c r="AP149">
        <f>IF(Datos!A149="","",MAX(1,ROUNDUP(AN149*(AL149+E149)+AM149*(AN149*Parametros!$B$3)*SQRT((AL149+E149)),0)))</f>
        <v/>
      </c>
      <c r="AQ149">
        <f>IF(Datos!A149="","",IF(Datos!J149="","",Datos!J149))</f>
        <v/>
      </c>
      <c r="AR149">
        <f>IF(OR(Datos!A149="",AQ149=""),"",MAX(0,AQ149-AP149))</f>
        <v/>
      </c>
      <c r="AS149" s="10">
        <f>IF(OR(Datos!A149="",AQ149=""),"",AR149*C149)</f>
        <v/>
      </c>
      <c r="AT149" s="12">
        <f>IF(OR(Datos!A149="",AQ149=""),"",IF(AQ149&lt;AO149,"SI",""))</f>
        <v/>
      </c>
      <c r="AU149">
        <f>IF(Datos!A149="","",IF(AT149="SI","Reponer ahora",IF(AND(AQ149&lt;&gt;"",AR149&gt;0),"Bajar "&amp;TEXT(AR149,"#,##0")&amp;" un.","En rango")))</f>
        <v/>
      </c>
    </row>
    <row r="150">
      <c r="A150">
        <f>IF(Datos!A150="","",Datos!A150)</f>
        <v/>
      </c>
      <c r="B150">
        <f>IF(Datos!A150="","",Datos!B150)</f>
        <v/>
      </c>
      <c r="C150">
        <f>IF(Datos!A150="","",IFERROR(MAX(0,N(Datos!D150)),0))</f>
        <v/>
      </c>
      <c r="D150">
        <f>IF(Datos!A150="","",IFERROR(MAX(0,N(Datos!E150)),0))</f>
        <v/>
      </c>
      <c r="E150">
        <f>IF(Datos!A150="","",IFERROR(MAX(0,N(Datos!F150)),0))</f>
        <v/>
      </c>
      <c r="F150">
        <f>IF(Datos!A150="","",IFERROR(MAX(0,N(Datos!G150)),0))</f>
        <v/>
      </c>
      <c r="G150">
        <f>IF(Datos!A150="","",IFERROR(MAX(0,N(Datos!H150)),0))</f>
        <v/>
      </c>
      <c r="H150">
        <f>IF(Datos!A150="","",IFERROR(MAX(0,N(Datos!I150)),0))</f>
        <v/>
      </c>
      <c r="J150">
        <f>IF(Datos!A150="","",IF(MAX(C$2:C$301)-MIN(C$2:C$301)&lt;0.000000001,0.5,(C150-MIN(C$2:C$301))/(MAX(C$2:C$301)-MIN(C$2:C$301)))+0.000000001)</f>
        <v/>
      </c>
      <c r="K150">
        <f>IF(Datos!A150="","",IF(MAX(D$2:D$301)-MIN(D$2:D$301)&lt;0.000000001,0.5,(D150-MIN(D$2:D$301))/(MAX(D$2:D$301)-MIN(D$2:D$301)))+0.000000001)</f>
        <v/>
      </c>
      <c r="L150">
        <f>IF(Datos!A150="","",IF(MAX(E$2:E$301)-MIN(E$2:E$301)&lt;0.000000001,0.5,(E150-MIN(E$2:E$301))/(MAX(E$2:E$301)-MIN(E$2:E$301)))+0.000000001)</f>
        <v/>
      </c>
      <c r="M150">
        <f>IF(Datos!A150="","",IF(MAX(F$2:F$301)-MIN(F$2:F$301)&lt;0.000000001,0.5,(F150-MIN(F$2:F$301))/(MAX(F$2:F$301)-MIN(F$2:F$301)))+0.000000001)</f>
        <v/>
      </c>
      <c r="N150">
        <f>IF(Datos!A150="","",IF(MAX(G$2:G$301)-MIN(G$2:G$301)&lt;0.000000001,0.5,(G150-MIN(G$2:G$301))/(MAX(G$2:G$301)-MIN(G$2:G$301)))+0.000000001)</f>
        <v/>
      </c>
      <c r="O150">
        <f>IF(Datos!A150="","",IF(MAX(H$2:H$301)-MIN(H$2:H$301)&lt;0.000000001,0.5,(H150-MIN(H$2:H$301))/(MAX(H$2:H$301)-MIN(H$2:H$301)))+0.000000001)</f>
        <v/>
      </c>
      <c r="Q150">
        <f>IF(Datos!A150="","",(J150/SUM(J$2:J$301))*LN(J150/SUM(J$2:J$301)))</f>
        <v/>
      </c>
      <c r="R150">
        <f>IF(Datos!A150="","",(K150/SUM(K$2:K$301))*LN(K150/SUM(K$2:K$301)))</f>
        <v/>
      </c>
      <c r="S150">
        <f>IF(Datos!A150="","",(L150/SUM(L$2:L$301))*LN(L150/SUM(L$2:L$301)))</f>
        <v/>
      </c>
      <c r="T150">
        <f>IF(Datos!A150="","",(M150/SUM(M$2:M$301))*LN(M150/SUM(M$2:M$301)))</f>
        <v/>
      </c>
      <c r="U150">
        <f>IF(Datos!A150="","",(N150/SUM(N$2:N$301))*LN(N150/SUM(N$2:N$301)))</f>
        <v/>
      </c>
      <c r="V150">
        <f>IF(Datos!A150="","",(O150/SUM(O$2:O$301))*LN(O150/SUM(O$2:O$301)))</f>
        <v/>
      </c>
      <c r="X150">
        <f>IF(Datos!A150="","",IF(SUMSQ(C$2:C$301)=0,0,C150/SQRT(SUMSQ(C$2:C$301)))*$BE$2)</f>
        <v/>
      </c>
      <c r="Y150">
        <f>IF(Datos!A150="","",IF(SUMSQ(D$2:D$301)=0,0,D150/SQRT(SUMSQ(D$2:D$301)))*$BE$3)</f>
        <v/>
      </c>
      <c r="Z150">
        <f>IF(Datos!A150="","",IF(SUMSQ(E$2:E$301)=0,0,E150/SQRT(SUMSQ(E$2:E$301)))*$BE$4)</f>
        <v/>
      </c>
      <c r="AA150">
        <f>IF(Datos!A150="","",IF(SUMSQ(F$2:F$301)=0,0,F150/SQRT(SUMSQ(F$2:F$301)))*$BE$5)</f>
        <v/>
      </c>
      <c r="AB150">
        <f>IF(Datos!A150="","",IF(SUMSQ(G$2:G$301)=0,0,G150/SQRT(SUMSQ(G$2:G$301)))*$BE$6)</f>
        <v/>
      </c>
      <c r="AC150">
        <f>IF(Datos!A150="","",IF(SUMSQ(H$2:H$301)=0,0,H150/SQRT(SUMSQ(H$2:H$301)))*$BE$7)</f>
        <v/>
      </c>
      <c r="AE150">
        <f>IF(Datos!A150="","",SQRT(SUMXMY2(X150:AC150,$X$303:$AC$303)))</f>
        <v/>
      </c>
      <c r="AF150">
        <f>IF(Datos!A150="","",SQRT(SUMXMY2(X150:AC150,$X$304:$AC$304)))</f>
        <v/>
      </c>
      <c r="AG150" s="11">
        <f>IF(Datos!A150="","",IF(AE150+AF150&lt;0.000000001,0.5,AF150/(AE150+AF150)))</f>
        <v/>
      </c>
      <c r="AH150">
        <f>IF(Datos!A150="","",AG150*MAX(C150*D150,1))</f>
        <v/>
      </c>
      <c r="AI150">
        <f>IF(Datos!A150="","",SUMIF($AH$2:$AH$301,"&gt;="&amp;AH150,$AH$2:$AH$301)/SUM($AH$2:$AH$301))</f>
        <v/>
      </c>
      <c r="AJ150" s="12">
        <f>IF(Datos!A150="","",IF(AI150&lt;=Parametros!$B$13,"A",IF(AI150&lt;=Parametros!$B$14,"B","C")))</f>
        <v/>
      </c>
      <c r="AK150" s="13">
        <f>IF(Datos!A150="","",VLOOKUP(AJ150,Parametros!$A$8:$C$10,2,FALSE))</f>
        <v/>
      </c>
      <c r="AL150">
        <f>IF(Datos!A150="","",VLOOKUP(AJ150,Parametros!$A$8:$C$10,3,FALSE))</f>
        <v/>
      </c>
      <c r="AM150">
        <f>IF(Datos!A150="","",NORMSINV(AK150))</f>
        <v/>
      </c>
      <c r="AN150">
        <f>IF(Datos!A150="","",D150/Parametros!$B$4)</f>
        <v/>
      </c>
      <c r="AO150">
        <f>IF(Datos!A150="","",MAX(0,ROUNDUP(AM150*(AN150*Parametros!$B$3)*SQRT((AL150+E150)),0)))</f>
        <v/>
      </c>
      <c r="AP150">
        <f>IF(Datos!A150="","",MAX(1,ROUNDUP(AN150*(AL150+E150)+AM150*(AN150*Parametros!$B$3)*SQRT((AL150+E150)),0)))</f>
        <v/>
      </c>
      <c r="AQ150">
        <f>IF(Datos!A150="","",IF(Datos!J150="","",Datos!J150))</f>
        <v/>
      </c>
      <c r="AR150">
        <f>IF(OR(Datos!A150="",AQ150=""),"",MAX(0,AQ150-AP150))</f>
        <v/>
      </c>
      <c r="AS150" s="10">
        <f>IF(OR(Datos!A150="",AQ150=""),"",AR150*C150)</f>
        <v/>
      </c>
      <c r="AT150" s="12">
        <f>IF(OR(Datos!A150="",AQ150=""),"",IF(AQ150&lt;AO150,"SI",""))</f>
        <v/>
      </c>
      <c r="AU150">
        <f>IF(Datos!A150="","",IF(AT150="SI","Reponer ahora",IF(AND(AQ150&lt;&gt;"",AR150&gt;0),"Bajar "&amp;TEXT(AR150,"#,##0")&amp;" un.","En rango")))</f>
        <v/>
      </c>
    </row>
    <row r="151">
      <c r="A151">
        <f>IF(Datos!A151="","",Datos!A151)</f>
        <v/>
      </c>
      <c r="B151">
        <f>IF(Datos!A151="","",Datos!B151)</f>
        <v/>
      </c>
      <c r="C151">
        <f>IF(Datos!A151="","",IFERROR(MAX(0,N(Datos!D151)),0))</f>
        <v/>
      </c>
      <c r="D151">
        <f>IF(Datos!A151="","",IFERROR(MAX(0,N(Datos!E151)),0))</f>
        <v/>
      </c>
      <c r="E151">
        <f>IF(Datos!A151="","",IFERROR(MAX(0,N(Datos!F151)),0))</f>
        <v/>
      </c>
      <c r="F151">
        <f>IF(Datos!A151="","",IFERROR(MAX(0,N(Datos!G151)),0))</f>
        <v/>
      </c>
      <c r="G151">
        <f>IF(Datos!A151="","",IFERROR(MAX(0,N(Datos!H151)),0))</f>
        <v/>
      </c>
      <c r="H151">
        <f>IF(Datos!A151="","",IFERROR(MAX(0,N(Datos!I151)),0))</f>
        <v/>
      </c>
      <c r="J151">
        <f>IF(Datos!A151="","",IF(MAX(C$2:C$301)-MIN(C$2:C$301)&lt;0.000000001,0.5,(C151-MIN(C$2:C$301))/(MAX(C$2:C$301)-MIN(C$2:C$301)))+0.000000001)</f>
        <v/>
      </c>
      <c r="K151">
        <f>IF(Datos!A151="","",IF(MAX(D$2:D$301)-MIN(D$2:D$301)&lt;0.000000001,0.5,(D151-MIN(D$2:D$301))/(MAX(D$2:D$301)-MIN(D$2:D$301)))+0.000000001)</f>
        <v/>
      </c>
      <c r="L151">
        <f>IF(Datos!A151="","",IF(MAX(E$2:E$301)-MIN(E$2:E$301)&lt;0.000000001,0.5,(E151-MIN(E$2:E$301))/(MAX(E$2:E$301)-MIN(E$2:E$301)))+0.000000001)</f>
        <v/>
      </c>
      <c r="M151">
        <f>IF(Datos!A151="","",IF(MAX(F$2:F$301)-MIN(F$2:F$301)&lt;0.000000001,0.5,(F151-MIN(F$2:F$301))/(MAX(F$2:F$301)-MIN(F$2:F$301)))+0.000000001)</f>
        <v/>
      </c>
      <c r="N151">
        <f>IF(Datos!A151="","",IF(MAX(G$2:G$301)-MIN(G$2:G$301)&lt;0.000000001,0.5,(G151-MIN(G$2:G$301))/(MAX(G$2:G$301)-MIN(G$2:G$301)))+0.000000001)</f>
        <v/>
      </c>
      <c r="O151">
        <f>IF(Datos!A151="","",IF(MAX(H$2:H$301)-MIN(H$2:H$301)&lt;0.000000001,0.5,(H151-MIN(H$2:H$301))/(MAX(H$2:H$301)-MIN(H$2:H$301)))+0.000000001)</f>
        <v/>
      </c>
      <c r="Q151">
        <f>IF(Datos!A151="","",(J151/SUM(J$2:J$301))*LN(J151/SUM(J$2:J$301)))</f>
        <v/>
      </c>
      <c r="R151">
        <f>IF(Datos!A151="","",(K151/SUM(K$2:K$301))*LN(K151/SUM(K$2:K$301)))</f>
        <v/>
      </c>
      <c r="S151">
        <f>IF(Datos!A151="","",(L151/SUM(L$2:L$301))*LN(L151/SUM(L$2:L$301)))</f>
        <v/>
      </c>
      <c r="T151">
        <f>IF(Datos!A151="","",(M151/SUM(M$2:M$301))*LN(M151/SUM(M$2:M$301)))</f>
        <v/>
      </c>
      <c r="U151">
        <f>IF(Datos!A151="","",(N151/SUM(N$2:N$301))*LN(N151/SUM(N$2:N$301)))</f>
        <v/>
      </c>
      <c r="V151">
        <f>IF(Datos!A151="","",(O151/SUM(O$2:O$301))*LN(O151/SUM(O$2:O$301)))</f>
        <v/>
      </c>
      <c r="X151">
        <f>IF(Datos!A151="","",IF(SUMSQ(C$2:C$301)=0,0,C151/SQRT(SUMSQ(C$2:C$301)))*$BE$2)</f>
        <v/>
      </c>
      <c r="Y151">
        <f>IF(Datos!A151="","",IF(SUMSQ(D$2:D$301)=0,0,D151/SQRT(SUMSQ(D$2:D$301)))*$BE$3)</f>
        <v/>
      </c>
      <c r="Z151">
        <f>IF(Datos!A151="","",IF(SUMSQ(E$2:E$301)=0,0,E151/SQRT(SUMSQ(E$2:E$301)))*$BE$4)</f>
        <v/>
      </c>
      <c r="AA151">
        <f>IF(Datos!A151="","",IF(SUMSQ(F$2:F$301)=0,0,F151/SQRT(SUMSQ(F$2:F$301)))*$BE$5)</f>
        <v/>
      </c>
      <c r="AB151">
        <f>IF(Datos!A151="","",IF(SUMSQ(G$2:G$301)=0,0,G151/SQRT(SUMSQ(G$2:G$301)))*$BE$6)</f>
        <v/>
      </c>
      <c r="AC151">
        <f>IF(Datos!A151="","",IF(SUMSQ(H$2:H$301)=0,0,H151/SQRT(SUMSQ(H$2:H$301)))*$BE$7)</f>
        <v/>
      </c>
      <c r="AE151">
        <f>IF(Datos!A151="","",SQRT(SUMXMY2(X151:AC151,$X$303:$AC$303)))</f>
        <v/>
      </c>
      <c r="AF151">
        <f>IF(Datos!A151="","",SQRT(SUMXMY2(X151:AC151,$X$304:$AC$304)))</f>
        <v/>
      </c>
      <c r="AG151" s="11">
        <f>IF(Datos!A151="","",IF(AE151+AF151&lt;0.000000001,0.5,AF151/(AE151+AF151)))</f>
        <v/>
      </c>
      <c r="AH151">
        <f>IF(Datos!A151="","",AG151*MAX(C151*D151,1))</f>
        <v/>
      </c>
      <c r="AI151">
        <f>IF(Datos!A151="","",SUMIF($AH$2:$AH$301,"&gt;="&amp;AH151,$AH$2:$AH$301)/SUM($AH$2:$AH$301))</f>
        <v/>
      </c>
      <c r="AJ151" s="12">
        <f>IF(Datos!A151="","",IF(AI151&lt;=Parametros!$B$13,"A",IF(AI151&lt;=Parametros!$B$14,"B","C")))</f>
        <v/>
      </c>
      <c r="AK151" s="13">
        <f>IF(Datos!A151="","",VLOOKUP(AJ151,Parametros!$A$8:$C$10,2,FALSE))</f>
        <v/>
      </c>
      <c r="AL151">
        <f>IF(Datos!A151="","",VLOOKUP(AJ151,Parametros!$A$8:$C$10,3,FALSE))</f>
        <v/>
      </c>
      <c r="AM151">
        <f>IF(Datos!A151="","",NORMSINV(AK151))</f>
        <v/>
      </c>
      <c r="AN151">
        <f>IF(Datos!A151="","",D151/Parametros!$B$4)</f>
        <v/>
      </c>
      <c r="AO151">
        <f>IF(Datos!A151="","",MAX(0,ROUNDUP(AM151*(AN151*Parametros!$B$3)*SQRT((AL151+E151)),0)))</f>
        <v/>
      </c>
      <c r="AP151">
        <f>IF(Datos!A151="","",MAX(1,ROUNDUP(AN151*(AL151+E151)+AM151*(AN151*Parametros!$B$3)*SQRT((AL151+E151)),0)))</f>
        <v/>
      </c>
      <c r="AQ151">
        <f>IF(Datos!A151="","",IF(Datos!J151="","",Datos!J151))</f>
        <v/>
      </c>
      <c r="AR151">
        <f>IF(OR(Datos!A151="",AQ151=""),"",MAX(0,AQ151-AP151))</f>
        <v/>
      </c>
      <c r="AS151" s="10">
        <f>IF(OR(Datos!A151="",AQ151=""),"",AR151*C151)</f>
        <v/>
      </c>
      <c r="AT151" s="12">
        <f>IF(OR(Datos!A151="",AQ151=""),"",IF(AQ151&lt;AO151,"SI",""))</f>
        <v/>
      </c>
      <c r="AU151">
        <f>IF(Datos!A151="","",IF(AT151="SI","Reponer ahora",IF(AND(AQ151&lt;&gt;"",AR151&gt;0),"Bajar "&amp;TEXT(AR151,"#,##0")&amp;" un.","En rango")))</f>
        <v/>
      </c>
    </row>
    <row r="152">
      <c r="A152">
        <f>IF(Datos!A152="","",Datos!A152)</f>
        <v/>
      </c>
      <c r="B152">
        <f>IF(Datos!A152="","",Datos!B152)</f>
        <v/>
      </c>
      <c r="C152">
        <f>IF(Datos!A152="","",IFERROR(MAX(0,N(Datos!D152)),0))</f>
        <v/>
      </c>
      <c r="D152">
        <f>IF(Datos!A152="","",IFERROR(MAX(0,N(Datos!E152)),0))</f>
        <v/>
      </c>
      <c r="E152">
        <f>IF(Datos!A152="","",IFERROR(MAX(0,N(Datos!F152)),0))</f>
        <v/>
      </c>
      <c r="F152">
        <f>IF(Datos!A152="","",IFERROR(MAX(0,N(Datos!G152)),0))</f>
        <v/>
      </c>
      <c r="G152">
        <f>IF(Datos!A152="","",IFERROR(MAX(0,N(Datos!H152)),0))</f>
        <v/>
      </c>
      <c r="H152">
        <f>IF(Datos!A152="","",IFERROR(MAX(0,N(Datos!I152)),0))</f>
        <v/>
      </c>
      <c r="J152">
        <f>IF(Datos!A152="","",IF(MAX(C$2:C$301)-MIN(C$2:C$301)&lt;0.000000001,0.5,(C152-MIN(C$2:C$301))/(MAX(C$2:C$301)-MIN(C$2:C$301)))+0.000000001)</f>
        <v/>
      </c>
      <c r="K152">
        <f>IF(Datos!A152="","",IF(MAX(D$2:D$301)-MIN(D$2:D$301)&lt;0.000000001,0.5,(D152-MIN(D$2:D$301))/(MAX(D$2:D$301)-MIN(D$2:D$301)))+0.000000001)</f>
        <v/>
      </c>
      <c r="L152">
        <f>IF(Datos!A152="","",IF(MAX(E$2:E$301)-MIN(E$2:E$301)&lt;0.000000001,0.5,(E152-MIN(E$2:E$301))/(MAX(E$2:E$301)-MIN(E$2:E$301)))+0.000000001)</f>
        <v/>
      </c>
      <c r="M152">
        <f>IF(Datos!A152="","",IF(MAX(F$2:F$301)-MIN(F$2:F$301)&lt;0.000000001,0.5,(F152-MIN(F$2:F$301))/(MAX(F$2:F$301)-MIN(F$2:F$301)))+0.000000001)</f>
        <v/>
      </c>
      <c r="N152">
        <f>IF(Datos!A152="","",IF(MAX(G$2:G$301)-MIN(G$2:G$301)&lt;0.000000001,0.5,(G152-MIN(G$2:G$301))/(MAX(G$2:G$301)-MIN(G$2:G$301)))+0.000000001)</f>
        <v/>
      </c>
      <c r="O152">
        <f>IF(Datos!A152="","",IF(MAX(H$2:H$301)-MIN(H$2:H$301)&lt;0.000000001,0.5,(H152-MIN(H$2:H$301))/(MAX(H$2:H$301)-MIN(H$2:H$301)))+0.000000001)</f>
        <v/>
      </c>
      <c r="Q152">
        <f>IF(Datos!A152="","",(J152/SUM(J$2:J$301))*LN(J152/SUM(J$2:J$301)))</f>
        <v/>
      </c>
      <c r="R152">
        <f>IF(Datos!A152="","",(K152/SUM(K$2:K$301))*LN(K152/SUM(K$2:K$301)))</f>
        <v/>
      </c>
      <c r="S152">
        <f>IF(Datos!A152="","",(L152/SUM(L$2:L$301))*LN(L152/SUM(L$2:L$301)))</f>
        <v/>
      </c>
      <c r="T152">
        <f>IF(Datos!A152="","",(M152/SUM(M$2:M$301))*LN(M152/SUM(M$2:M$301)))</f>
        <v/>
      </c>
      <c r="U152">
        <f>IF(Datos!A152="","",(N152/SUM(N$2:N$301))*LN(N152/SUM(N$2:N$301)))</f>
        <v/>
      </c>
      <c r="V152">
        <f>IF(Datos!A152="","",(O152/SUM(O$2:O$301))*LN(O152/SUM(O$2:O$301)))</f>
        <v/>
      </c>
      <c r="X152">
        <f>IF(Datos!A152="","",IF(SUMSQ(C$2:C$301)=0,0,C152/SQRT(SUMSQ(C$2:C$301)))*$BE$2)</f>
        <v/>
      </c>
      <c r="Y152">
        <f>IF(Datos!A152="","",IF(SUMSQ(D$2:D$301)=0,0,D152/SQRT(SUMSQ(D$2:D$301)))*$BE$3)</f>
        <v/>
      </c>
      <c r="Z152">
        <f>IF(Datos!A152="","",IF(SUMSQ(E$2:E$301)=0,0,E152/SQRT(SUMSQ(E$2:E$301)))*$BE$4)</f>
        <v/>
      </c>
      <c r="AA152">
        <f>IF(Datos!A152="","",IF(SUMSQ(F$2:F$301)=0,0,F152/SQRT(SUMSQ(F$2:F$301)))*$BE$5)</f>
        <v/>
      </c>
      <c r="AB152">
        <f>IF(Datos!A152="","",IF(SUMSQ(G$2:G$301)=0,0,G152/SQRT(SUMSQ(G$2:G$301)))*$BE$6)</f>
        <v/>
      </c>
      <c r="AC152">
        <f>IF(Datos!A152="","",IF(SUMSQ(H$2:H$301)=0,0,H152/SQRT(SUMSQ(H$2:H$301)))*$BE$7)</f>
        <v/>
      </c>
      <c r="AE152">
        <f>IF(Datos!A152="","",SQRT(SUMXMY2(X152:AC152,$X$303:$AC$303)))</f>
        <v/>
      </c>
      <c r="AF152">
        <f>IF(Datos!A152="","",SQRT(SUMXMY2(X152:AC152,$X$304:$AC$304)))</f>
        <v/>
      </c>
      <c r="AG152" s="11">
        <f>IF(Datos!A152="","",IF(AE152+AF152&lt;0.000000001,0.5,AF152/(AE152+AF152)))</f>
        <v/>
      </c>
      <c r="AH152">
        <f>IF(Datos!A152="","",AG152*MAX(C152*D152,1))</f>
        <v/>
      </c>
      <c r="AI152">
        <f>IF(Datos!A152="","",SUMIF($AH$2:$AH$301,"&gt;="&amp;AH152,$AH$2:$AH$301)/SUM($AH$2:$AH$301))</f>
        <v/>
      </c>
      <c r="AJ152" s="12">
        <f>IF(Datos!A152="","",IF(AI152&lt;=Parametros!$B$13,"A",IF(AI152&lt;=Parametros!$B$14,"B","C")))</f>
        <v/>
      </c>
      <c r="AK152" s="13">
        <f>IF(Datos!A152="","",VLOOKUP(AJ152,Parametros!$A$8:$C$10,2,FALSE))</f>
        <v/>
      </c>
      <c r="AL152">
        <f>IF(Datos!A152="","",VLOOKUP(AJ152,Parametros!$A$8:$C$10,3,FALSE))</f>
        <v/>
      </c>
      <c r="AM152">
        <f>IF(Datos!A152="","",NORMSINV(AK152))</f>
        <v/>
      </c>
      <c r="AN152">
        <f>IF(Datos!A152="","",D152/Parametros!$B$4)</f>
        <v/>
      </c>
      <c r="AO152">
        <f>IF(Datos!A152="","",MAX(0,ROUNDUP(AM152*(AN152*Parametros!$B$3)*SQRT((AL152+E152)),0)))</f>
        <v/>
      </c>
      <c r="AP152">
        <f>IF(Datos!A152="","",MAX(1,ROUNDUP(AN152*(AL152+E152)+AM152*(AN152*Parametros!$B$3)*SQRT((AL152+E152)),0)))</f>
        <v/>
      </c>
      <c r="AQ152">
        <f>IF(Datos!A152="","",IF(Datos!J152="","",Datos!J152))</f>
        <v/>
      </c>
      <c r="AR152">
        <f>IF(OR(Datos!A152="",AQ152=""),"",MAX(0,AQ152-AP152))</f>
        <v/>
      </c>
      <c r="AS152" s="10">
        <f>IF(OR(Datos!A152="",AQ152=""),"",AR152*C152)</f>
        <v/>
      </c>
      <c r="AT152" s="12">
        <f>IF(OR(Datos!A152="",AQ152=""),"",IF(AQ152&lt;AO152,"SI",""))</f>
        <v/>
      </c>
      <c r="AU152">
        <f>IF(Datos!A152="","",IF(AT152="SI","Reponer ahora",IF(AND(AQ152&lt;&gt;"",AR152&gt;0),"Bajar "&amp;TEXT(AR152,"#,##0")&amp;" un.","En rango")))</f>
        <v/>
      </c>
    </row>
    <row r="153">
      <c r="A153">
        <f>IF(Datos!A153="","",Datos!A153)</f>
        <v/>
      </c>
      <c r="B153">
        <f>IF(Datos!A153="","",Datos!B153)</f>
        <v/>
      </c>
      <c r="C153">
        <f>IF(Datos!A153="","",IFERROR(MAX(0,N(Datos!D153)),0))</f>
        <v/>
      </c>
      <c r="D153">
        <f>IF(Datos!A153="","",IFERROR(MAX(0,N(Datos!E153)),0))</f>
        <v/>
      </c>
      <c r="E153">
        <f>IF(Datos!A153="","",IFERROR(MAX(0,N(Datos!F153)),0))</f>
        <v/>
      </c>
      <c r="F153">
        <f>IF(Datos!A153="","",IFERROR(MAX(0,N(Datos!G153)),0))</f>
        <v/>
      </c>
      <c r="G153">
        <f>IF(Datos!A153="","",IFERROR(MAX(0,N(Datos!H153)),0))</f>
        <v/>
      </c>
      <c r="H153">
        <f>IF(Datos!A153="","",IFERROR(MAX(0,N(Datos!I153)),0))</f>
        <v/>
      </c>
      <c r="J153">
        <f>IF(Datos!A153="","",IF(MAX(C$2:C$301)-MIN(C$2:C$301)&lt;0.000000001,0.5,(C153-MIN(C$2:C$301))/(MAX(C$2:C$301)-MIN(C$2:C$301)))+0.000000001)</f>
        <v/>
      </c>
      <c r="K153">
        <f>IF(Datos!A153="","",IF(MAX(D$2:D$301)-MIN(D$2:D$301)&lt;0.000000001,0.5,(D153-MIN(D$2:D$301))/(MAX(D$2:D$301)-MIN(D$2:D$301)))+0.000000001)</f>
        <v/>
      </c>
      <c r="L153">
        <f>IF(Datos!A153="","",IF(MAX(E$2:E$301)-MIN(E$2:E$301)&lt;0.000000001,0.5,(E153-MIN(E$2:E$301))/(MAX(E$2:E$301)-MIN(E$2:E$301)))+0.000000001)</f>
        <v/>
      </c>
      <c r="M153">
        <f>IF(Datos!A153="","",IF(MAX(F$2:F$301)-MIN(F$2:F$301)&lt;0.000000001,0.5,(F153-MIN(F$2:F$301))/(MAX(F$2:F$301)-MIN(F$2:F$301)))+0.000000001)</f>
        <v/>
      </c>
      <c r="N153">
        <f>IF(Datos!A153="","",IF(MAX(G$2:G$301)-MIN(G$2:G$301)&lt;0.000000001,0.5,(G153-MIN(G$2:G$301))/(MAX(G$2:G$301)-MIN(G$2:G$301)))+0.000000001)</f>
        <v/>
      </c>
      <c r="O153">
        <f>IF(Datos!A153="","",IF(MAX(H$2:H$301)-MIN(H$2:H$301)&lt;0.000000001,0.5,(H153-MIN(H$2:H$301))/(MAX(H$2:H$301)-MIN(H$2:H$301)))+0.000000001)</f>
        <v/>
      </c>
      <c r="Q153">
        <f>IF(Datos!A153="","",(J153/SUM(J$2:J$301))*LN(J153/SUM(J$2:J$301)))</f>
        <v/>
      </c>
      <c r="R153">
        <f>IF(Datos!A153="","",(K153/SUM(K$2:K$301))*LN(K153/SUM(K$2:K$301)))</f>
        <v/>
      </c>
      <c r="S153">
        <f>IF(Datos!A153="","",(L153/SUM(L$2:L$301))*LN(L153/SUM(L$2:L$301)))</f>
        <v/>
      </c>
      <c r="T153">
        <f>IF(Datos!A153="","",(M153/SUM(M$2:M$301))*LN(M153/SUM(M$2:M$301)))</f>
        <v/>
      </c>
      <c r="U153">
        <f>IF(Datos!A153="","",(N153/SUM(N$2:N$301))*LN(N153/SUM(N$2:N$301)))</f>
        <v/>
      </c>
      <c r="V153">
        <f>IF(Datos!A153="","",(O153/SUM(O$2:O$301))*LN(O153/SUM(O$2:O$301)))</f>
        <v/>
      </c>
      <c r="X153">
        <f>IF(Datos!A153="","",IF(SUMSQ(C$2:C$301)=0,0,C153/SQRT(SUMSQ(C$2:C$301)))*$BE$2)</f>
        <v/>
      </c>
      <c r="Y153">
        <f>IF(Datos!A153="","",IF(SUMSQ(D$2:D$301)=0,0,D153/SQRT(SUMSQ(D$2:D$301)))*$BE$3)</f>
        <v/>
      </c>
      <c r="Z153">
        <f>IF(Datos!A153="","",IF(SUMSQ(E$2:E$301)=0,0,E153/SQRT(SUMSQ(E$2:E$301)))*$BE$4)</f>
        <v/>
      </c>
      <c r="AA153">
        <f>IF(Datos!A153="","",IF(SUMSQ(F$2:F$301)=0,0,F153/SQRT(SUMSQ(F$2:F$301)))*$BE$5)</f>
        <v/>
      </c>
      <c r="AB153">
        <f>IF(Datos!A153="","",IF(SUMSQ(G$2:G$301)=0,0,G153/SQRT(SUMSQ(G$2:G$301)))*$BE$6)</f>
        <v/>
      </c>
      <c r="AC153">
        <f>IF(Datos!A153="","",IF(SUMSQ(H$2:H$301)=0,0,H153/SQRT(SUMSQ(H$2:H$301)))*$BE$7)</f>
        <v/>
      </c>
      <c r="AE153">
        <f>IF(Datos!A153="","",SQRT(SUMXMY2(X153:AC153,$X$303:$AC$303)))</f>
        <v/>
      </c>
      <c r="AF153">
        <f>IF(Datos!A153="","",SQRT(SUMXMY2(X153:AC153,$X$304:$AC$304)))</f>
        <v/>
      </c>
      <c r="AG153" s="11">
        <f>IF(Datos!A153="","",IF(AE153+AF153&lt;0.000000001,0.5,AF153/(AE153+AF153)))</f>
        <v/>
      </c>
      <c r="AH153">
        <f>IF(Datos!A153="","",AG153*MAX(C153*D153,1))</f>
        <v/>
      </c>
      <c r="AI153">
        <f>IF(Datos!A153="","",SUMIF($AH$2:$AH$301,"&gt;="&amp;AH153,$AH$2:$AH$301)/SUM($AH$2:$AH$301))</f>
        <v/>
      </c>
      <c r="AJ153" s="12">
        <f>IF(Datos!A153="","",IF(AI153&lt;=Parametros!$B$13,"A",IF(AI153&lt;=Parametros!$B$14,"B","C")))</f>
        <v/>
      </c>
      <c r="AK153" s="13">
        <f>IF(Datos!A153="","",VLOOKUP(AJ153,Parametros!$A$8:$C$10,2,FALSE))</f>
        <v/>
      </c>
      <c r="AL153">
        <f>IF(Datos!A153="","",VLOOKUP(AJ153,Parametros!$A$8:$C$10,3,FALSE))</f>
        <v/>
      </c>
      <c r="AM153">
        <f>IF(Datos!A153="","",NORMSINV(AK153))</f>
        <v/>
      </c>
      <c r="AN153">
        <f>IF(Datos!A153="","",D153/Parametros!$B$4)</f>
        <v/>
      </c>
      <c r="AO153">
        <f>IF(Datos!A153="","",MAX(0,ROUNDUP(AM153*(AN153*Parametros!$B$3)*SQRT((AL153+E153)),0)))</f>
        <v/>
      </c>
      <c r="AP153">
        <f>IF(Datos!A153="","",MAX(1,ROUNDUP(AN153*(AL153+E153)+AM153*(AN153*Parametros!$B$3)*SQRT((AL153+E153)),0)))</f>
        <v/>
      </c>
      <c r="AQ153">
        <f>IF(Datos!A153="","",IF(Datos!J153="","",Datos!J153))</f>
        <v/>
      </c>
      <c r="AR153">
        <f>IF(OR(Datos!A153="",AQ153=""),"",MAX(0,AQ153-AP153))</f>
        <v/>
      </c>
      <c r="AS153" s="10">
        <f>IF(OR(Datos!A153="",AQ153=""),"",AR153*C153)</f>
        <v/>
      </c>
      <c r="AT153" s="12">
        <f>IF(OR(Datos!A153="",AQ153=""),"",IF(AQ153&lt;AO153,"SI",""))</f>
        <v/>
      </c>
      <c r="AU153">
        <f>IF(Datos!A153="","",IF(AT153="SI","Reponer ahora",IF(AND(AQ153&lt;&gt;"",AR153&gt;0),"Bajar "&amp;TEXT(AR153,"#,##0")&amp;" un.","En rango")))</f>
        <v/>
      </c>
    </row>
    <row r="154">
      <c r="A154">
        <f>IF(Datos!A154="","",Datos!A154)</f>
        <v/>
      </c>
      <c r="B154">
        <f>IF(Datos!A154="","",Datos!B154)</f>
        <v/>
      </c>
      <c r="C154">
        <f>IF(Datos!A154="","",IFERROR(MAX(0,N(Datos!D154)),0))</f>
        <v/>
      </c>
      <c r="D154">
        <f>IF(Datos!A154="","",IFERROR(MAX(0,N(Datos!E154)),0))</f>
        <v/>
      </c>
      <c r="E154">
        <f>IF(Datos!A154="","",IFERROR(MAX(0,N(Datos!F154)),0))</f>
        <v/>
      </c>
      <c r="F154">
        <f>IF(Datos!A154="","",IFERROR(MAX(0,N(Datos!G154)),0))</f>
        <v/>
      </c>
      <c r="G154">
        <f>IF(Datos!A154="","",IFERROR(MAX(0,N(Datos!H154)),0))</f>
        <v/>
      </c>
      <c r="H154">
        <f>IF(Datos!A154="","",IFERROR(MAX(0,N(Datos!I154)),0))</f>
        <v/>
      </c>
      <c r="J154">
        <f>IF(Datos!A154="","",IF(MAX(C$2:C$301)-MIN(C$2:C$301)&lt;0.000000001,0.5,(C154-MIN(C$2:C$301))/(MAX(C$2:C$301)-MIN(C$2:C$301)))+0.000000001)</f>
        <v/>
      </c>
      <c r="K154">
        <f>IF(Datos!A154="","",IF(MAX(D$2:D$301)-MIN(D$2:D$301)&lt;0.000000001,0.5,(D154-MIN(D$2:D$301))/(MAX(D$2:D$301)-MIN(D$2:D$301)))+0.000000001)</f>
        <v/>
      </c>
      <c r="L154">
        <f>IF(Datos!A154="","",IF(MAX(E$2:E$301)-MIN(E$2:E$301)&lt;0.000000001,0.5,(E154-MIN(E$2:E$301))/(MAX(E$2:E$301)-MIN(E$2:E$301)))+0.000000001)</f>
        <v/>
      </c>
      <c r="M154">
        <f>IF(Datos!A154="","",IF(MAX(F$2:F$301)-MIN(F$2:F$301)&lt;0.000000001,0.5,(F154-MIN(F$2:F$301))/(MAX(F$2:F$301)-MIN(F$2:F$301)))+0.000000001)</f>
        <v/>
      </c>
      <c r="N154">
        <f>IF(Datos!A154="","",IF(MAX(G$2:G$301)-MIN(G$2:G$301)&lt;0.000000001,0.5,(G154-MIN(G$2:G$301))/(MAX(G$2:G$301)-MIN(G$2:G$301)))+0.000000001)</f>
        <v/>
      </c>
      <c r="O154">
        <f>IF(Datos!A154="","",IF(MAX(H$2:H$301)-MIN(H$2:H$301)&lt;0.000000001,0.5,(H154-MIN(H$2:H$301))/(MAX(H$2:H$301)-MIN(H$2:H$301)))+0.000000001)</f>
        <v/>
      </c>
      <c r="Q154">
        <f>IF(Datos!A154="","",(J154/SUM(J$2:J$301))*LN(J154/SUM(J$2:J$301)))</f>
        <v/>
      </c>
      <c r="R154">
        <f>IF(Datos!A154="","",(K154/SUM(K$2:K$301))*LN(K154/SUM(K$2:K$301)))</f>
        <v/>
      </c>
      <c r="S154">
        <f>IF(Datos!A154="","",(L154/SUM(L$2:L$301))*LN(L154/SUM(L$2:L$301)))</f>
        <v/>
      </c>
      <c r="T154">
        <f>IF(Datos!A154="","",(M154/SUM(M$2:M$301))*LN(M154/SUM(M$2:M$301)))</f>
        <v/>
      </c>
      <c r="U154">
        <f>IF(Datos!A154="","",(N154/SUM(N$2:N$301))*LN(N154/SUM(N$2:N$301)))</f>
        <v/>
      </c>
      <c r="V154">
        <f>IF(Datos!A154="","",(O154/SUM(O$2:O$301))*LN(O154/SUM(O$2:O$301)))</f>
        <v/>
      </c>
      <c r="X154">
        <f>IF(Datos!A154="","",IF(SUMSQ(C$2:C$301)=0,0,C154/SQRT(SUMSQ(C$2:C$301)))*$BE$2)</f>
        <v/>
      </c>
      <c r="Y154">
        <f>IF(Datos!A154="","",IF(SUMSQ(D$2:D$301)=0,0,D154/SQRT(SUMSQ(D$2:D$301)))*$BE$3)</f>
        <v/>
      </c>
      <c r="Z154">
        <f>IF(Datos!A154="","",IF(SUMSQ(E$2:E$301)=0,0,E154/SQRT(SUMSQ(E$2:E$301)))*$BE$4)</f>
        <v/>
      </c>
      <c r="AA154">
        <f>IF(Datos!A154="","",IF(SUMSQ(F$2:F$301)=0,0,F154/SQRT(SUMSQ(F$2:F$301)))*$BE$5)</f>
        <v/>
      </c>
      <c r="AB154">
        <f>IF(Datos!A154="","",IF(SUMSQ(G$2:G$301)=0,0,G154/SQRT(SUMSQ(G$2:G$301)))*$BE$6)</f>
        <v/>
      </c>
      <c r="AC154">
        <f>IF(Datos!A154="","",IF(SUMSQ(H$2:H$301)=0,0,H154/SQRT(SUMSQ(H$2:H$301)))*$BE$7)</f>
        <v/>
      </c>
      <c r="AE154">
        <f>IF(Datos!A154="","",SQRT(SUMXMY2(X154:AC154,$X$303:$AC$303)))</f>
        <v/>
      </c>
      <c r="AF154">
        <f>IF(Datos!A154="","",SQRT(SUMXMY2(X154:AC154,$X$304:$AC$304)))</f>
        <v/>
      </c>
      <c r="AG154" s="11">
        <f>IF(Datos!A154="","",IF(AE154+AF154&lt;0.000000001,0.5,AF154/(AE154+AF154)))</f>
        <v/>
      </c>
      <c r="AH154">
        <f>IF(Datos!A154="","",AG154*MAX(C154*D154,1))</f>
        <v/>
      </c>
      <c r="AI154">
        <f>IF(Datos!A154="","",SUMIF($AH$2:$AH$301,"&gt;="&amp;AH154,$AH$2:$AH$301)/SUM($AH$2:$AH$301))</f>
        <v/>
      </c>
      <c r="AJ154" s="12">
        <f>IF(Datos!A154="","",IF(AI154&lt;=Parametros!$B$13,"A",IF(AI154&lt;=Parametros!$B$14,"B","C")))</f>
        <v/>
      </c>
      <c r="AK154" s="13">
        <f>IF(Datos!A154="","",VLOOKUP(AJ154,Parametros!$A$8:$C$10,2,FALSE))</f>
        <v/>
      </c>
      <c r="AL154">
        <f>IF(Datos!A154="","",VLOOKUP(AJ154,Parametros!$A$8:$C$10,3,FALSE))</f>
        <v/>
      </c>
      <c r="AM154">
        <f>IF(Datos!A154="","",NORMSINV(AK154))</f>
        <v/>
      </c>
      <c r="AN154">
        <f>IF(Datos!A154="","",D154/Parametros!$B$4)</f>
        <v/>
      </c>
      <c r="AO154">
        <f>IF(Datos!A154="","",MAX(0,ROUNDUP(AM154*(AN154*Parametros!$B$3)*SQRT((AL154+E154)),0)))</f>
        <v/>
      </c>
      <c r="AP154">
        <f>IF(Datos!A154="","",MAX(1,ROUNDUP(AN154*(AL154+E154)+AM154*(AN154*Parametros!$B$3)*SQRT((AL154+E154)),0)))</f>
        <v/>
      </c>
      <c r="AQ154">
        <f>IF(Datos!A154="","",IF(Datos!J154="","",Datos!J154))</f>
        <v/>
      </c>
      <c r="AR154">
        <f>IF(OR(Datos!A154="",AQ154=""),"",MAX(0,AQ154-AP154))</f>
        <v/>
      </c>
      <c r="AS154" s="10">
        <f>IF(OR(Datos!A154="",AQ154=""),"",AR154*C154)</f>
        <v/>
      </c>
      <c r="AT154" s="12">
        <f>IF(OR(Datos!A154="",AQ154=""),"",IF(AQ154&lt;AO154,"SI",""))</f>
        <v/>
      </c>
      <c r="AU154">
        <f>IF(Datos!A154="","",IF(AT154="SI","Reponer ahora",IF(AND(AQ154&lt;&gt;"",AR154&gt;0),"Bajar "&amp;TEXT(AR154,"#,##0")&amp;" un.","En rango")))</f>
        <v/>
      </c>
    </row>
    <row r="155">
      <c r="A155">
        <f>IF(Datos!A155="","",Datos!A155)</f>
        <v/>
      </c>
      <c r="B155">
        <f>IF(Datos!A155="","",Datos!B155)</f>
        <v/>
      </c>
      <c r="C155">
        <f>IF(Datos!A155="","",IFERROR(MAX(0,N(Datos!D155)),0))</f>
        <v/>
      </c>
      <c r="D155">
        <f>IF(Datos!A155="","",IFERROR(MAX(0,N(Datos!E155)),0))</f>
        <v/>
      </c>
      <c r="E155">
        <f>IF(Datos!A155="","",IFERROR(MAX(0,N(Datos!F155)),0))</f>
        <v/>
      </c>
      <c r="F155">
        <f>IF(Datos!A155="","",IFERROR(MAX(0,N(Datos!G155)),0))</f>
        <v/>
      </c>
      <c r="G155">
        <f>IF(Datos!A155="","",IFERROR(MAX(0,N(Datos!H155)),0))</f>
        <v/>
      </c>
      <c r="H155">
        <f>IF(Datos!A155="","",IFERROR(MAX(0,N(Datos!I155)),0))</f>
        <v/>
      </c>
      <c r="J155">
        <f>IF(Datos!A155="","",IF(MAX(C$2:C$301)-MIN(C$2:C$301)&lt;0.000000001,0.5,(C155-MIN(C$2:C$301))/(MAX(C$2:C$301)-MIN(C$2:C$301)))+0.000000001)</f>
        <v/>
      </c>
      <c r="K155">
        <f>IF(Datos!A155="","",IF(MAX(D$2:D$301)-MIN(D$2:D$301)&lt;0.000000001,0.5,(D155-MIN(D$2:D$301))/(MAX(D$2:D$301)-MIN(D$2:D$301)))+0.000000001)</f>
        <v/>
      </c>
      <c r="L155">
        <f>IF(Datos!A155="","",IF(MAX(E$2:E$301)-MIN(E$2:E$301)&lt;0.000000001,0.5,(E155-MIN(E$2:E$301))/(MAX(E$2:E$301)-MIN(E$2:E$301)))+0.000000001)</f>
        <v/>
      </c>
      <c r="M155">
        <f>IF(Datos!A155="","",IF(MAX(F$2:F$301)-MIN(F$2:F$301)&lt;0.000000001,0.5,(F155-MIN(F$2:F$301))/(MAX(F$2:F$301)-MIN(F$2:F$301)))+0.000000001)</f>
        <v/>
      </c>
      <c r="N155">
        <f>IF(Datos!A155="","",IF(MAX(G$2:G$301)-MIN(G$2:G$301)&lt;0.000000001,0.5,(G155-MIN(G$2:G$301))/(MAX(G$2:G$301)-MIN(G$2:G$301)))+0.000000001)</f>
        <v/>
      </c>
      <c r="O155">
        <f>IF(Datos!A155="","",IF(MAX(H$2:H$301)-MIN(H$2:H$301)&lt;0.000000001,0.5,(H155-MIN(H$2:H$301))/(MAX(H$2:H$301)-MIN(H$2:H$301)))+0.000000001)</f>
        <v/>
      </c>
      <c r="Q155">
        <f>IF(Datos!A155="","",(J155/SUM(J$2:J$301))*LN(J155/SUM(J$2:J$301)))</f>
        <v/>
      </c>
      <c r="R155">
        <f>IF(Datos!A155="","",(K155/SUM(K$2:K$301))*LN(K155/SUM(K$2:K$301)))</f>
        <v/>
      </c>
      <c r="S155">
        <f>IF(Datos!A155="","",(L155/SUM(L$2:L$301))*LN(L155/SUM(L$2:L$301)))</f>
        <v/>
      </c>
      <c r="T155">
        <f>IF(Datos!A155="","",(M155/SUM(M$2:M$301))*LN(M155/SUM(M$2:M$301)))</f>
        <v/>
      </c>
      <c r="U155">
        <f>IF(Datos!A155="","",(N155/SUM(N$2:N$301))*LN(N155/SUM(N$2:N$301)))</f>
        <v/>
      </c>
      <c r="V155">
        <f>IF(Datos!A155="","",(O155/SUM(O$2:O$301))*LN(O155/SUM(O$2:O$301)))</f>
        <v/>
      </c>
      <c r="X155">
        <f>IF(Datos!A155="","",IF(SUMSQ(C$2:C$301)=0,0,C155/SQRT(SUMSQ(C$2:C$301)))*$BE$2)</f>
        <v/>
      </c>
      <c r="Y155">
        <f>IF(Datos!A155="","",IF(SUMSQ(D$2:D$301)=0,0,D155/SQRT(SUMSQ(D$2:D$301)))*$BE$3)</f>
        <v/>
      </c>
      <c r="Z155">
        <f>IF(Datos!A155="","",IF(SUMSQ(E$2:E$301)=0,0,E155/SQRT(SUMSQ(E$2:E$301)))*$BE$4)</f>
        <v/>
      </c>
      <c r="AA155">
        <f>IF(Datos!A155="","",IF(SUMSQ(F$2:F$301)=0,0,F155/SQRT(SUMSQ(F$2:F$301)))*$BE$5)</f>
        <v/>
      </c>
      <c r="AB155">
        <f>IF(Datos!A155="","",IF(SUMSQ(G$2:G$301)=0,0,G155/SQRT(SUMSQ(G$2:G$301)))*$BE$6)</f>
        <v/>
      </c>
      <c r="AC155">
        <f>IF(Datos!A155="","",IF(SUMSQ(H$2:H$301)=0,0,H155/SQRT(SUMSQ(H$2:H$301)))*$BE$7)</f>
        <v/>
      </c>
      <c r="AE155">
        <f>IF(Datos!A155="","",SQRT(SUMXMY2(X155:AC155,$X$303:$AC$303)))</f>
        <v/>
      </c>
      <c r="AF155">
        <f>IF(Datos!A155="","",SQRT(SUMXMY2(X155:AC155,$X$304:$AC$304)))</f>
        <v/>
      </c>
      <c r="AG155" s="11">
        <f>IF(Datos!A155="","",IF(AE155+AF155&lt;0.000000001,0.5,AF155/(AE155+AF155)))</f>
        <v/>
      </c>
      <c r="AH155">
        <f>IF(Datos!A155="","",AG155*MAX(C155*D155,1))</f>
        <v/>
      </c>
      <c r="AI155">
        <f>IF(Datos!A155="","",SUMIF($AH$2:$AH$301,"&gt;="&amp;AH155,$AH$2:$AH$301)/SUM($AH$2:$AH$301))</f>
        <v/>
      </c>
      <c r="AJ155" s="12">
        <f>IF(Datos!A155="","",IF(AI155&lt;=Parametros!$B$13,"A",IF(AI155&lt;=Parametros!$B$14,"B","C")))</f>
        <v/>
      </c>
      <c r="AK155" s="13">
        <f>IF(Datos!A155="","",VLOOKUP(AJ155,Parametros!$A$8:$C$10,2,FALSE))</f>
        <v/>
      </c>
      <c r="AL155">
        <f>IF(Datos!A155="","",VLOOKUP(AJ155,Parametros!$A$8:$C$10,3,FALSE))</f>
        <v/>
      </c>
      <c r="AM155">
        <f>IF(Datos!A155="","",NORMSINV(AK155))</f>
        <v/>
      </c>
      <c r="AN155">
        <f>IF(Datos!A155="","",D155/Parametros!$B$4)</f>
        <v/>
      </c>
      <c r="AO155">
        <f>IF(Datos!A155="","",MAX(0,ROUNDUP(AM155*(AN155*Parametros!$B$3)*SQRT((AL155+E155)),0)))</f>
        <v/>
      </c>
      <c r="AP155">
        <f>IF(Datos!A155="","",MAX(1,ROUNDUP(AN155*(AL155+E155)+AM155*(AN155*Parametros!$B$3)*SQRT((AL155+E155)),0)))</f>
        <v/>
      </c>
      <c r="AQ155">
        <f>IF(Datos!A155="","",IF(Datos!J155="","",Datos!J155))</f>
        <v/>
      </c>
      <c r="AR155">
        <f>IF(OR(Datos!A155="",AQ155=""),"",MAX(0,AQ155-AP155))</f>
        <v/>
      </c>
      <c r="AS155" s="10">
        <f>IF(OR(Datos!A155="",AQ155=""),"",AR155*C155)</f>
        <v/>
      </c>
      <c r="AT155" s="12">
        <f>IF(OR(Datos!A155="",AQ155=""),"",IF(AQ155&lt;AO155,"SI",""))</f>
        <v/>
      </c>
      <c r="AU155">
        <f>IF(Datos!A155="","",IF(AT155="SI","Reponer ahora",IF(AND(AQ155&lt;&gt;"",AR155&gt;0),"Bajar "&amp;TEXT(AR155,"#,##0")&amp;" un.","En rango")))</f>
        <v/>
      </c>
    </row>
    <row r="156">
      <c r="A156">
        <f>IF(Datos!A156="","",Datos!A156)</f>
        <v/>
      </c>
      <c r="B156">
        <f>IF(Datos!A156="","",Datos!B156)</f>
        <v/>
      </c>
      <c r="C156">
        <f>IF(Datos!A156="","",IFERROR(MAX(0,N(Datos!D156)),0))</f>
        <v/>
      </c>
      <c r="D156">
        <f>IF(Datos!A156="","",IFERROR(MAX(0,N(Datos!E156)),0))</f>
        <v/>
      </c>
      <c r="E156">
        <f>IF(Datos!A156="","",IFERROR(MAX(0,N(Datos!F156)),0))</f>
        <v/>
      </c>
      <c r="F156">
        <f>IF(Datos!A156="","",IFERROR(MAX(0,N(Datos!G156)),0))</f>
        <v/>
      </c>
      <c r="G156">
        <f>IF(Datos!A156="","",IFERROR(MAX(0,N(Datos!H156)),0))</f>
        <v/>
      </c>
      <c r="H156">
        <f>IF(Datos!A156="","",IFERROR(MAX(0,N(Datos!I156)),0))</f>
        <v/>
      </c>
      <c r="J156">
        <f>IF(Datos!A156="","",IF(MAX(C$2:C$301)-MIN(C$2:C$301)&lt;0.000000001,0.5,(C156-MIN(C$2:C$301))/(MAX(C$2:C$301)-MIN(C$2:C$301)))+0.000000001)</f>
        <v/>
      </c>
      <c r="K156">
        <f>IF(Datos!A156="","",IF(MAX(D$2:D$301)-MIN(D$2:D$301)&lt;0.000000001,0.5,(D156-MIN(D$2:D$301))/(MAX(D$2:D$301)-MIN(D$2:D$301)))+0.000000001)</f>
        <v/>
      </c>
      <c r="L156">
        <f>IF(Datos!A156="","",IF(MAX(E$2:E$301)-MIN(E$2:E$301)&lt;0.000000001,0.5,(E156-MIN(E$2:E$301))/(MAX(E$2:E$301)-MIN(E$2:E$301)))+0.000000001)</f>
        <v/>
      </c>
      <c r="M156">
        <f>IF(Datos!A156="","",IF(MAX(F$2:F$301)-MIN(F$2:F$301)&lt;0.000000001,0.5,(F156-MIN(F$2:F$301))/(MAX(F$2:F$301)-MIN(F$2:F$301)))+0.000000001)</f>
        <v/>
      </c>
      <c r="N156">
        <f>IF(Datos!A156="","",IF(MAX(G$2:G$301)-MIN(G$2:G$301)&lt;0.000000001,0.5,(G156-MIN(G$2:G$301))/(MAX(G$2:G$301)-MIN(G$2:G$301)))+0.000000001)</f>
        <v/>
      </c>
      <c r="O156">
        <f>IF(Datos!A156="","",IF(MAX(H$2:H$301)-MIN(H$2:H$301)&lt;0.000000001,0.5,(H156-MIN(H$2:H$301))/(MAX(H$2:H$301)-MIN(H$2:H$301)))+0.000000001)</f>
        <v/>
      </c>
      <c r="Q156">
        <f>IF(Datos!A156="","",(J156/SUM(J$2:J$301))*LN(J156/SUM(J$2:J$301)))</f>
        <v/>
      </c>
      <c r="R156">
        <f>IF(Datos!A156="","",(K156/SUM(K$2:K$301))*LN(K156/SUM(K$2:K$301)))</f>
        <v/>
      </c>
      <c r="S156">
        <f>IF(Datos!A156="","",(L156/SUM(L$2:L$301))*LN(L156/SUM(L$2:L$301)))</f>
        <v/>
      </c>
      <c r="T156">
        <f>IF(Datos!A156="","",(M156/SUM(M$2:M$301))*LN(M156/SUM(M$2:M$301)))</f>
        <v/>
      </c>
      <c r="U156">
        <f>IF(Datos!A156="","",(N156/SUM(N$2:N$301))*LN(N156/SUM(N$2:N$301)))</f>
        <v/>
      </c>
      <c r="V156">
        <f>IF(Datos!A156="","",(O156/SUM(O$2:O$301))*LN(O156/SUM(O$2:O$301)))</f>
        <v/>
      </c>
      <c r="X156">
        <f>IF(Datos!A156="","",IF(SUMSQ(C$2:C$301)=0,0,C156/SQRT(SUMSQ(C$2:C$301)))*$BE$2)</f>
        <v/>
      </c>
      <c r="Y156">
        <f>IF(Datos!A156="","",IF(SUMSQ(D$2:D$301)=0,0,D156/SQRT(SUMSQ(D$2:D$301)))*$BE$3)</f>
        <v/>
      </c>
      <c r="Z156">
        <f>IF(Datos!A156="","",IF(SUMSQ(E$2:E$301)=0,0,E156/SQRT(SUMSQ(E$2:E$301)))*$BE$4)</f>
        <v/>
      </c>
      <c r="AA156">
        <f>IF(Datos!A156="","",IF(SUMSQ(F$2:F$301)=0,0,F156/SQRT(SUMSQ(F$2:F$301)))*$BE$5)</f>
        <v/>
      </c>
      <c r="AB156">
        <f>IF(Datos!A156="","",IF(SUMSQ(G$2:G$301)=0,0,G156/SQRT(SUMSQ(G$2:G$301)))*$BE$6)</f>
        <v/>
      </c>
      <c r="AC156">
        <f>IF(Datos!A156="","",IF(SUMSQ(H$2:H$301)=0,0,H156/SQRT(SUMSQ(H$2:H$301)))*$BE$7)</f>
        <v/>
      </c>
      <c r="AE156">
        <f>IF(Datos!A156="","",SQRT(SUMXMY2(X156:AC156,$X$303:$AC$303)))</f>
        <v/>
      </c>
      <c r="AF156">
        <f>IF(Datos!A156="","",SQRT(SUMXMY2(X156:AC156,$X$304:$AC$304)))</f>
        <v/>
      </c>
      <c r="AG156" s="11">
        <f>IF(Datos!A156="","",IF(AE156+AF156&lt;0.000000001,0.5,AF156/(AE156+AF156)))</f>
        <v/>
      </c>
      <c r="AH156">
        <f>IF(Datos!A156="","",AG156*MAX(C156*D156,1))</f>
        <v/>
      </c>
      <c r="AI156">
        <f>IF(Datos!A156="","",SUMIF($AH$2:$AH$301,"&gt;="&amp;AH156,$AH$2:$AH$301)/SUM($AH$2:$AH$301))</f>
        <v/>
      </c>
      <c r="AJ156" s="12">
        <f>IF(Datos!A156="","",IF(AI156&lt;=Parametros!$B$13,"A",IF(AI156&lt;=Parametros!$B$14,"B","C")))</f>
        <v/>
      </c>
      <c r="AK156" s="13">
        <f>IF(Datos!A156="","",VLOOKUP(AJ156,Parametros!$A$8:$C$10,2,FALSE))</f>
        <v/>
      </c>
      <c r="AL156">
        <f>IF(Datos!A156="","",VLOOKUP(AJ156,Parametros!$A$8:$C$10,3,FALSE))</f>
        <v/>
      </c>
      <c r="AM156">
        <f>IF(Datos!A156="","",NORMSINV(AK156))</f>
        <v/>
      </c>
      <c r="AN156">
        <f>IF(Datos!A156="","",D156/Parametros!$B$4)</f>
        <v/>
      </c>
      <c r="AO156">
        <f>IF(Datos!A156="","",MAX(0,ROUNDUP(AM156*(AN156*Parametros!$B$3)*SQRT((AL156+E156)),0)))</f>
        <v/>
      </c>
      <c r="AP156">
        <f>IF(Datos!A156="","",MAX(1,ROUNDUP(AN156*(AL156+E156)+AM156*(AN156*Parametros!$B$3)*SQRT((AL156+E156)),0)))</f>
        <v/>
      </c>
      <c r="AQ156">
        <f>IF(Datos!A156="","",IF(Datos!J156="","",Datos!J156))</f>
        <v/>
      </c>
      <c r="AR156">
        <f>IF(OR(Datos!A156="",AQ156=""),"",MAX(0,AQ156-AP156))</f>
        <v/>
      </c>
      <c r="AS156" s="10">
        <f>IF(OR(Datos!A156="",AQ156=""),"",AR156*C156)</f>
        <v/>
      </c>
      <c r="AT156" s="12">
        <f>IF(OR(Datos!A156="",AQ156=""),"",IF(AQ156&lt;AO156,"SI",""))</f>
        <v/>
      </c>
      <c r="AU156">
        <f>IF(Datos!A156="","",IF(AT156="SI","Reponer ahora",IF(AND(AQ156&lt;&gt;"",AR156&gt;0),"Bajar "&amp;TEXT(AR156,"#,##0")&amp;" un.","En rango")))</f>
        <v/>
      </c>
    </row>
    <row r="157">
      <c r="A157">
        <f>IF(Datos!A157="","",Datos!A157)</f>
        <v/>
      </c>
      <c r="B157">
        <f>IF(Datos!A157="","",Datos!B157)</f>
        <v/>
      </c>
      <c r="C157">
        <f>IF(Datos!A157="","",IFERROR(MAX(0,N(Datos!D157)),0))</f>
        <v/>
      </c>
      <c r="D157">
        <f>IF(Datos!A157="","",IFERROR(MAX(0,N(Datos!E157)),0))</f>
        <v/>
      </c>
      <c r="E157">
        <f>IF(Datos!A157="","",IFERROR(MAX(0,N(Datos!F157)),0))</f>
        <v/>
      </c>
      <c r="F157">
        <f>IF(Datos!A157="","",IFERROR(MAX(0,N(Datos!G157)),0))</f>
        <v/>
      </c>
      <c r="G157">
        <f>IF(Datos!A157="","",IFERROR(MAX(0,N(Datos!H157)),0))</f>
        <v/>
      </c>
      <c r="H157">
        <f>IF(Datos!A157="","",IFERROR(MAX(0,N(Datos!I157)),0))</f>
        <v/>
      </c>
      <c r="J157">
        <f>IF(Datos!A157="","",IF(MAX(C$2:C$301)-MIN(C$2:C$301)&lt;0.000000001,0.5,(C157-MIN(C$2:C$301))/(MAX(C$2:C$301)-MIN(C$2:C$301)))+0.000000001)</f>
        <v/>
      </c>
      <c r="K157">
        <f>IF(Datos!A157="","",IF(MAX(D$2:D$301)-MIN(D$2:D$301)&lt;0.000000001,0.5,(D157-MIN(D$2:D$301))/(MAX(D$2:D$301)-MIN(D$2:D$301)))+0.000000001)</f>
        <v/>
      </c>
      <c r="L157">
        <f>IF(Datos!A157="","",IF(MAX(E$2:E$301)-MIN(E$2:E$301)&lt;0.000000001,0.5,(E157-MIN(E$2:E$301))/(MAX(E$2:E$301)-MIN(E$2:E$301)))+0.000000001)</f>
        <v/>
      </c>
      <c r="M157">
        <f>IF(Datos!A157="","",IF(MAX(F$2:F$301)-MIN(F$2:F$301)&lt;0.000000001,0.5,(F157-MIN(F$2:F$301))/(MAX(F$2:F$301)-MIN(F$2:F$301)))+0.000000001)</f>
        <v/>
      </c>
      <c r="N157">
        <f>IF(Datos!A157="","",IF(MAX(G$2:G$301)-MIN(G$2:G$301)&lt;0.000000001,0.5,(G157-MIN(G$2:G$301))/(MAX(G$2:G$301)-MIN(G$2:G$301)))+0.000000001)</f>
        <v/>
      </c>
      <c r="O157">
        <f>IF(Datos!A157="","",IF(MAX(H$2:H$301)-MIN(H$2:H$301)&lt;0.000000001,0.5,(H157-MIN(H$2:H$301))/(MAX(H$2:H$301)-MIN(H$2:H$301)))+0.000000001)</f>
        <v/>
      </c>
      <c r="Q157">
        <f>IF(Datos!A157="","",(J157/SUM(J$2:J$301))*LN(J157/SUM(J$2:J$301)))</f>
        <v/>
      </c>
      <c r="R157">
        <f>IF(Datos!A157="","",(K157/SUM(K$2:K$301))*LN(K157/SUM(K$2:K$301)))</f>
        <v/>
      </c>
      <c r="S157">
        <f>IF(Datos!A157="","",(L157/SUM(L$2:L$301))*LN(L157/SUM(L$2:L$301)))</f>
        <v/>
      </c>
      <c r="T157">
        <f>IF(Datos!A157="","",(M157/SUM(M$2:M$301))*LN(M157/SUM(M$2:M$301)))</f>
        <v/>
      </c>
      <c r="U157">
        <f>IF(Datos!A157="","",(N157/SUM(N$2:N$301))*LN(N157/SUM(N$2:N$301)))</f>
        <v/>
      </c>
      <c r="V157">
        <f>IF(Datos!A157="","",(O157/SUM(O$2:O$301))*LN(O157/SUM(O$2:O$301)))</f>
        <v/>
      </c>
      <c r="X157">
        <f>IF(Datos!A157="","",IF(SUMSQ(C$2:C$301)=0,0,C157/SQRT(SUMSQ(C$2:C$301)))*$BE$2)</f>
        <v/>
      </c>
      <c r="Y157">
        <f>IF(Datos!A157="","",IF(SUMSQ(D$2:D$301)=0,0,D157/SQRT(SUMSQ(D$2:D$301)))*$BE$3)</f>
        <v/>
      </c>
      <c r="Z157">
        <f>IF(Datos!A157="","",IF(SUMSQ(E$2:E$301)=0,0,E157/SQRT(SUMSQ(E$2:E$301)))*$BE$4)</f>
        <v/>
      </c>
      <c r="AA157">
        <f>IF(Datos!A157="","",IF(SUMSQ(F$2:F$301)=0,0,F157/SQRT(SUMSQ(F$2:F$301)))*$BE$5)</f>
        <v/>
      </c>
      <c r="AB157">
        <f>IF(Datos!A157="","",IF(SUMSQ(G$2:G$301)=0,0,G157/SQRT(SUMSQ(G$2:G$301)))*$BE$6)</f>
        <v/>
      </c>
      <c r="AC157">
        <f>IF(Datos!A157="","",IF(SUMSQ(H$2:H$301)=0,0,H157/SQRT(SUMSQ(H$2:H$301)))*$BE$7)</f>
        <v/>
      </c>
      <c r="AE157">
        <f>IF(Datos!A157="","",SQRT(SUMXMY2(X157:AC157,$X$303:$AC$303)))</f>
        <v/>
      </c>
      <c r="AF157">
        <f>IF(Datos!A157="","",SQRT(SUMXMY2(X157:AC157,$X$304:$AC$304)))</f>
        <v/>
      </c>
      <c r="AG157" s="11">
        <f>IF(Datos!A157="","",IF(AE157+AF157&lt;0.000000001,0.5,AF157/(AE157+AF157)))</f>
        <v/>
      </c>
      <c r="AH157">
        <f>IF(Datos!A157="","",AG157*MAX(C157*D157,1))</f>
        <v/>
      </c>
      <c r="AI157">
        <f>IF(Datos!A157="","",SUMIF($AH$2:$AH$301,"&gt;="&amp;AH157,$AH$2:$AH$301)/SUM($AH$2:$AH$301))</f>
        <v/>
      </c>
      <c r="AJ157" s="12">
        <f>IF(Datos!A157="","",IF(AI157&lt;=Parametros!$B$13,"A",IF(AI157&lt;=Parametros!$B$14,"B","C")))</f>
        <v/>
      </c>
      <c r="AK157" s="13">
        <f>IF(Datos!A157="","",VLOOKUP(AJ157,Parametros!$A$8:$C$10,2,FALSE))</f>
        <v/>
      </c>
      <c r="AL157">
        <f>IF(Datos!A157="","",VLOOKUP(AJ157,Parametros!$A$8:$C$10,3,FALSE))</f>
        <v/>
      </c>
      <c r="AM157">
        <f>IF(Datos!A157="","",NORMSINV(AK157))</f>
        <v/>
      </c>
      <c r="AN157">
        <f>IF(Datos!A157="","",D157/Parametros!$B$4)</f>
        <v/>
      </c>
      <c r="AO157">
        <f>IF(Datos!A157="","",MAX(0,ROUNDUP(AM157*(AN157*Parametros!$B$3)*SQRT((AL157+E157)),0)))</f>
        <v/>
      </c>
      <c r="AP157">
        <f>IF(Datos!A157="","",MAX(1,ROUNDUP(AN157*(AL157+E157)+AM157*(AN157*Parametros!$B$3)*SQRT((AL157+E157)),0)))</f>
        <v/>
      </c>
      <c r="AQ157">
        <f>IF(Datos!A157="","",IF(Datos!J157="","",Datos!J157))</f>
        <v/>
      </c>
      <c r="AR157">
        <f>IF(OR(Datos!A157="",AQ157=""),"",MAX(0,AQ157-AP157))</f>
        <v/>
      </c>
      <c r="AS157" s="10">
        <f>IF(OR(Datos!A157="",AQ157=""),"",AR157*C157)</f>
        <v/>
      </c>
      <c r="AT157" s="12">
        <f>IF(OR(Datos!A157="",AQ157=""),"",IF(AQ157&lt;AO157,"SI",""))</f>
        <v/>
      </c>
      <c r="AU157">
        <f>IF(Datos!A157="","",IF(AT157="SI","Reponer ahora",IF(AND(AQ157&lt;&gt;"",AR157&gt;0),"Bajar "&amp;TEXT(AR157,"#,##0")&amp;" un.","En rango")))</f>
        <v/>
      </c>
    </row>
    <row r="158">
      <c r="A158">
        <f>IF(Datos!A158="","",Datos!A158)</f>
        <v/>
      </c>
      <c r="B158">
        <f>IF(Datos!A158="","",Datos!B158)</f>
        <v/>
      </c>
      <c r="C158">
        <f>IF(Datos!A158="","",IFERROR(MAX(0,N(Datos!D158)),0))</f>
        <v/>
      </c>
      <c r="D158">
        <f>IF(Datos!A158="","",IFERROR(MAX(0,N(Datos!E158)),0))</f>
        <v/>
      </c>
      <c r="E158">
        <f>IF(Datos!A158="","",IFERROR(MAX(0,N(Datos!F158)),0))</f>
        <v/>
      </c>
      <c r="F158">
        <f>IF(Datos!A158="","",IFERROR(MAX(0,N(Datos!G158)),0))</f>
        <v/>
      </c>
      <c r="G158">
        <f>IF(Datos!A158="","",IFERROR(MAX(0,N(Datos!H158)),0))</f>
        <v/>
      </c>
      <c r="H158">
        <f>IF(Datos!A158="","",IFERROR(MAX(0,N(Datos!I158)),0))</f>
        <v/>
      </c>
      <c r="J158">
        <f>IF(Datos!A158="","",IF(MAX(C$2:C$301)-MIN(C$2:C$301)&lt;0.000000001,0.5,(C158-MIN(C$2:C$301))/(MAX(C$2:C$301)-MIN(C$2:C$301)))+0.000000001)</f>
        <v/>
      </c>
      <c r="K158">
        <f>IF(Datos!A158="","",IF(MAX(D$2:D$301)-MIN(D$2:D$301)&lt;0.000000001,0.5,(D158-MIN(D$2:D$301))/(MAX(D$2:D$301)-MIN(D$2:D$301)))+0.000000001)</f>
        <v/>
      </c>
      <c r="L158">
        <f>IF(Datos!A158="","",IF(MAX(E$2:E$301)-MIN(E$2:E$301)&lt;0.000000001,0.5,(E158-MIN(E$2:E$301))/(MAX(E$2:E$301)-MIN(E$2:E$301)))+0.000000001)</f>
        <v/>
      </c>
      <c r="M158">
        <f>IF(Datos!A158="","",IF(MAX(F$2:F$301)-MIN(F$2:F$301)&lt;0.000000001,0.5,(F158-MIN(F$2:F$301))/(MAX(F$2:F$301)-MIN(F$2:F$301)))+0.000000001)</f>
        <v/>
      </c>
      <c r="N158">
        <f>IF(Datos!A158="","",IF(MAX(G$2:G$301)-MIN(G$2:G$301)&lt;0.000000001,0.5,(G158-MIN(G$2:G$301))/(MAX(G$2:G$301)-MIN(G$2:G$301)))+0.000000001)</f>
        <v/>
      </c>
      <c r="O158">
        <f>IF(Datos!A158="","",IF(MAX(H$2:H$301)-MIN(H$2:H$301)&lt;0.000000001,0.5,(H158-MIN(H$2:H$301))/(MAX(H$2:H$301)-MIN(H$2:H$301)))+0.000000001)</f>
        <v/>
      </c>
      <c r="Q158">
        <f>IF(Datos!A158="","",(J158/SUM(J$2:J$301))*LN(J158/SUM(J$2:J$301)))</f>
        <v/>
      </c>
      <c r="R158">
        <f>IF(Datos!A158="","",(K158/SUM(K$2:K$301))*LN(K158/SUM(K$2:K$301)))</f>
        <v/>
      </c>
      <c r="S158">
        <f>IF(Datos!A158="","",(L158/SUM(L$2:L$301))*LN(L158/SUM(L$2:L$301)))</f>
        <v/>
      </c>
      <c r="T158">
        <f>IF(Datos!A158="","",(M158/SUM(M$2:M$301))*LN(M158/SUM(M$2:M$301)))</f>
        <v/>
      </c>
      <c r="U158">
        <f>IF(Datos!A158="","",(N158/SUM(N$2:N$301))*LN(N158/SUM(N$2:N$301)))</f>
        <v/>
      </c>
      <c r="V158">
        <f>IF(Datos!A158="","",(O158/SUM(O$2:O$301))*LN(O158/SUM(O$2:O$301)))</f>
        <v/>
      </c>
      <c r="X158">
        <f>IF(Datos!A158="","",IF(SUMSQ(C$2:C$301)=0,0,C158/SQRT(SUMSQ(C$2:C$301)))*$BE$2)</f>
        <v/>
      </c>
      <c r="Y158">
        <f>IF(Datos!A158="","",IF(SUMSQ(D$2:D$301)=0,0,D158/SQRT(SUMSQ(D$2:D$301)))*$BE$3)</f>
        <v/>
      </c>
      <c r="Z158">
        <f>IF(Datos!A158="","",IF(SUMSQ(E$2:E$301)=0,0,E158/SQRT(SUMSQ(E$2:E$301)))*$BE$4)</f>
        <v/>
      </c>
      <c r="AA158">
        <f>IF(Datos!A158="","",IF(SUMSQ(F$2:F$301)=0,0,F158/SQRT(SUMSQ(F$2:F$301)))*$BE$5)</f>
        <v/>
      </c>
      <c r="AB158">
        <f>IF(Datos!A158="","",IF(SUMSQ(G$2:G$301)=0,0,G158/SQRT(SUMSQ(G$2:G$301)))*$BE$6)</f>
        <v/>
      </c>
      <c r="AC158">
        <f>IF(Datos!A158="","",IF(SUMSQ(H$2:H$301)=0,0,H158/SQRT(SUMSQ(H$2:H$301)))*$BE$7)</f>
        <v/>
      </c>
      <c r="AE158">
        <f>IF(Datos!A158="","",SQRT(SUMXMY2(X158:AC158,$X$303:$AC$303)))</f>
        <v/>
      </c>
      <c r="AF158">
        <f>IF(Datos!A158="","",SQRT(SUMXMY2(X158:AC158,$X$304:$AC$304)))</f>
        <v/>
      </c>
      <c r="AG158" s="11">
        <f>IF(Datos!A158="","",IF(AE158+AF158&lt;0.000000001,0.5,AF158/(AE158+AF158)))</f>
        <v/>
      </c>
      <c r="AH158">
        <f>IF(Datos!A158="","",AG158*MAX(C158*D158,1))</f>
        <v/>
      </c>
      <c r="AI158">
        <f>IF(Datos!A158="","",SUMIF($AH$2:$AH$301,"&gt;="&amp;AH158,$AH$2:$AH$301)/SUM($AH$2:$AH$301))</f>
        <v/>
      </c>
      <c r="AJ158" s="12">
        <f>IF(Datos!A158="","",IF(AI158&lt;=Parametros!$B$13,"A",IF(AI158&lt;=Parametros!$B$14,"B","C")))</f>
        <v/>
      </c>
      <c r="AK158" s="13">
        <f>IF(Datos!A158="","",VLOOKUP(AJ158,Parametros!$A$8:$C$10,2,FALSE))</f>
        <v/>
      </c>
      <c r="AL158">
        <f>IF(Datos!A158="","",VLOOKUP(AJ158,Parametros!$A$8:$C$10,3,FALSE))</f>
        <v/>
      </c>
      <c r="AM158">
        <f>IF(Datos!A158="","",NORMSINV(AK158))</f>
        <v/>
      </c>
      <c r="AN158">
        <f>IF(Datos!A158="","",D158/Parametros!$B$4)</f>
        <v/>
      </c>
      <c r="AO158">
        <f>IF(Datos!A158="","",MAX(0,ROUNDUP(AM158*(AN158*Parametros!$B$3)*SQRT((AL158+E158)),0)))</f>
        <v/>
      </c>
      <c r="AP158">
        <f>IF(Datos!A158="","",MAX(1,ROUNDUP(AN158*(AL158+E158)+AM158*(AN158*Parametros!$B$3)*SQRT((AL158+E158)),0)))</f>
        <v/>
      </c>
      <c r="AQ158">
        <f>IF(Datos!A158="","",IF(Datos!J158="","",Datos!J158))</f>
        <v/>
      </c>
      <c r="AR158">
        <f>IF(OR(Datos!A158="",AQ158=""),"",MAX(0,AQ158-AP158))</f>
        <v/>
      </c>
      <c r="AS158" s="10">
        <f>IF(OR(Datos!A158="",AQ158=""),"",AR158*C158)</f>
        <v/>
      </c>
      <c r="AT158" s="12">
        <f>IF(OR(Datos!A158="",AQ158=""),"",IF(AQ158&lt;AO158,"SI",""))</f>
        <v/>
      </c>
      <c r="AU158">
        <f>IF(Datos!A158="","",IF(AT158="SI","Reponer ahora",IF(AND(AQ158&lt;&gt;"",AR158&gt;0),"Bajar "&amp;TEXT(AR158,"#,##0")&amp;" un.","En rango")))</f>
        <v/>
      </c>
    </row>
    <row r="159">
      <c r="A159">
        <f>IF(Datos!A159="","",Datos!A159)</f>
        <v/>
      </c>
      <c r="B159">
        <f>IF(Datos!A159="","",Datos!B159)</f>
        <v/>
      </c>
      <c r="C159">
        <f>IF(Datos!A159="","",IFERROR(MAX(0,N(Datos!D159)),0))</f>
        <v/>
      </c>
      <c r="D159">
        <f>IF(Datos!A159="","",IFERROR(MAX(0,N(Datos!E159)),0))</f>
        <v/>
      </c>
      <c r="E159">
        <f>IF(Datos!A159="","",IFERROR(MAX(0,N(Datos!F159)),0))</f>
        <v/>
      </c>
      <c r="F159">
        <f>IF(Datos!A159="","",IFERROR(MAX(0,N(Datos!G159)),0))</f>
        <v/>
      </c>
      <c r="G159">
        <f>IF(Datos!A159="","",IFERROR(MAX(0,N(Datos!H159)),0))</f>
        <v/>
      </c>
      <c r="H159">
        <f>IF(Datos!A159="","",IFERROR(MAX(0,N(Datos!I159)),0))</f>
        <v/>
      </c>
      <c r="J159">
        <f>IF(Datos!A159="","",IF(MAX(C$2:C$301)-MIN(C$2:C$301)&lt;0.000000001,0.5,(C159-MIN(C$2:C$301))/(MAX(C$2:C$301)-MIN(C$2:C$301)))+0.000000001)</f>
        <v/>
      </c>
      <c r="K159">
        <f>IF(Datos!A159="","",IF(MAX(D$2:D$301)-MIN(D$2:D$301)&lt;0.000000001,0.5,(D159-MIN(D$2:D$301))/(MAX(D$2:D$301)-MIN(D$2:D$301)))+0.000000001)</f>
        <v/>
      </c>
      <c r="L159">
        <f>IF(Datos!A159="","",IF(MAX(E$2:E$301)-MIN(E$2:E$301)&lt;0.000000001,0.5,(E159-MIN(E$2:E$301))/(MAX(E$2:E$301)-MIN(E$2:E$301)))+0.000000001)</f>
        <v/>
      </c>
      <c r="M159">
        <f>IF(Datos!A159="","",IF(MAX(F$2:F$301)-MIN(F$2:F$301)&lt;0.000000001,0.5,(F159-MIN(F$2:F$301))/(MAX(F$2:F$301)-MIN(F$2:F$301)))+0.000000001)</f>
        <v/>
      </c>
      <c r="N159">
        <f>IF(Datos!A159="","",IF(MAX(G$2:G$301)-MIN(G$2:G$301)&lt;0.000000001,0.5,(G159-MIN(G$2:G$301))/(MAX(G$2:G$301)-MIN(G$2:G$301)))+0.000000001)</f>
        <v/>
      </c>
      <c r="O159">
        <f>IF(Datos!A159="","",IF(MAX(H$2:H$301)-MIN(H$2:H$301)&lt;0.000000001,0.5,(H159-MIN(H$2:H$301))/(MAX(H$2:H$301)-MIN(H$2:H$301)))+0.000000001)</f>
        <v/>
      </c>
      <c r="Q159">
        <f>IF(Datos!A159="","",(J159/SUM(J$2:J$301))*LN(J159/SUM(J$2:J$301)))</f>
        <v/>
      </c>
      <c r="R159">
        <f>IF(Datos!A159="","",(K159/SUM(K$2:K$301))*LN(K159/SUM(K$2:K$301)))</f>
        <v/>
      </c>
      <c r="S159">
        <f>IF(Datos!A159="","",(L159/SUM(L$2:L$301))*LN(L159/SUM(L$2:L$301)))</f>
        <v/>
      </c>
      <c r="T159">
        <f>IF(Datos!A159="","",(M159/SUM(M$2:M$301))*LN(M159/SUM(M$2:M$301)))</f>
        <v/>
      </c>
      <c r="U159">
        <f>IF(Datos!A159="","",(N159/SUM(N$2:N$301))*LN(N159/SUM(N$2:N$301)))</f>
        <v/>
      </c>
      <c r="V159">
        <f>IF(Datos!A159="","",(O159/SUM(O$2:O$301))*LN(O159/SUM(O$2:O$301)))</f>
        <v/>
      </c>
      <c r="X159">
        <f>IF(Datos!A159="","",IF(SUMSQ(C$2:C$301)=0,0,C159/SQRT(SUMSQ(C$2:C$301)))*$BE$2)</f>
        <v/>
      </c>
      <c r="Y159">
        <f>IF(Datos!A159="","",IF(SUMSQ(D$2:D$301)=0,0,D159/SQRT(SUMSQ(D$2:D$301)))*$BE$3)</f>
        <v/>
      </c>
      <c r="Z159">
        <f>IF(Datos!A159="","",IF(SUMSQ(E$2:E$301)=0,0,E159/SQRT(SUMSQ(E$2:E$301)))*$BE$4)</f>
        <v/>
      </c>
      <c r="AA159">
        <f>IF(Datos!A159="","",IF(SUMSQ(F$2:F$301)=0,0,F159/SQRT(SUMSQ(F$2:F$301)))*$BE$5)</f>
        <v/>
      </c>
      <c r="AB159">
        <f>IF(Datos!A159="","",IF(SUMSQ(G$2:G$301)=0,0,G159/SQRT(SUMSQ(G$2:G$301)))*$BE$6)</f>
        <v/>
      </c>
      <c r="AC159">
        <f>IF(Datos!A159="","",IF(SUMSQ(H$2:H$301)=0,0,H159/SQRT(SUMSQ(H$2:H$301)))*$BE$7)</f>
        <v/>
      </c>
      <c r="AE159">
        <f>IF(Datos!A159="","",SQRT(SUMXMY2(X159:AC159,$X$303:$AC$303)))</f>
        <v/>
      </c>
      <c r="AF159">
        <f>IF(Datos!A159="","",SQRT(SUMXMY2(X159:AC159,$X$304:$AC$304)))</f>
        <v/>
      </c>
      <c r="AG159" s="11">
        <f>IF(Datos!A159="","",IF(AE159+AF159&lt;0.000000001,0.5,AF159/(AE159+AF159)))</f>
        <v/>
      </c>
      <c r="AH159">
        <f>IF(Datos!A159="","",AG159*MAX(C159*D159,1))</f>
        <v/>
      </c>
      <c r="AI159">
        <f>IF(Datos!A159="","",SUMIF($AH$2:$AH$301,"&gt;="&amp;AH159,$AH$2:$AH$301)/SUM($AH$2:$AH$301))</f>
        <v/>
      </c>
      <c r="AJ159" s="12">
        <f>IF(Datos!A159="","",IF(AI159&lt;=Parametros!$B$13,"A",IF(AI159&lt;=Parametros!$B$14,"B","C")))</f>
        <v/>
      </c>
      <c r="AK159" s="13">
        <f>IF(Datos!A159="","",VLOOKUP(AJ159,Parametros!$A$8:$C$10,2,FALSE))</f>
        <v/>
      </c>
      <c r="AL159">
        <f>IF(Datos!A159="","",VLOOKUP(AJ159,Parametros!$A$8:$C$10,3,FALSE))</f>
        <v/>
      </c>
      <c r="AM159">
        <f>IF(Datos!A159="","",NORMSINV(AK159))</f>
        <v/>
      </c>
      <c r="AN159">
        <f>IF(Datos!A159="","",D159/Parametros!$B$4)</f>
        <v/>
      </c>
      <c r="AO159">
        <f>IF(Datos!A159="","",MAX(0,ROUNDUP(AM159*(AN159*Parametros!$B$3)*SQRT((AL159+E159)),0)))</f>
        <v/>
      </c>
      <c r="AP159">
        <f>IF(Datos!A159="","",MAX(1,ROUNDUP(AN159*(AL159+E159)+AM159*(AN159*Parametros!$B$3)*SQRT((AL159+E159)),0)))</f>
        <v/>
      </c>
      <c r="AQ159">
        <f>IF(Datos!A159="","",IF(Datos!J159="","",Datos!J159))</f>
        <v/>
      </c>
      <c r="AR159">
        <f>IF(OR(Datos!A159="",AQ159=""),"",MAX(0,AQ159-AP159))</f>
        <v/>
      </c>
      <c r="AS159" s="10">
        <f>IF(OR(Datos!A159="",AQ159=""),"",AR159*C159)</f>
        <v/>
      </c>
      <c r="AT159" s="12">
        <f>IF(OR(Datos!A159="",AQ159=""),"",IF(AQ159&lt;AO159,"SI",""))</f>
        <v/>
      </c>
      <c r="AU159">
        <f>IF(Datos!A159="","",IF(AT159="SI","Reponer ahora",IF(AND(AQ159&lt;&gt;"",AR159&gt;0),"Bajar "&amp;TEXT(AR159,"#,##0")&amp;" un.","En rango")))</f>
        <v/>
      </c>
    </row>
    <row r="160">
      <c r="A160">
        <f>IF(Datos!A160="","",Datos!A160)</f>
        <v/>
      </c>
      <c r="B160">
        <f>IF(Datos!A160="","",Datos!B160)</f>
        <v/>
      </c>
      <c r="C160">
        <f>IF(Datos!A160="","",IFERROR(MAX(0,N(Datos!D160)),0))</f>
        <v/>
      </c>
      <c r="D160">
        <f>IF(Datos!A160="","",IFERROR(MAX(0,N(Datos!E160)),0))</f>
        <v/>
      </c>
      <c r="E160">
        <f>IF(Datos!A160="","",IFERROR(MAX(0,N(Datos!F160)),0))</f>
        <v/>
      </c>
      <c r="F160">
        <f>IF(Datos!A160="","",IFERROR(MAX(0,N(Datos!G160)),0))</f>
        <v/>
      </c>
      <c r="G160">
        <f>IF(Datos!A160="","",IFERROR(MAX(0,N(Datos!H160)),0))</f>
        <v/>
      </c>
      <c r="H160">
        <f>IF(Datos!A160="","",IFERROR(MAX(0,N(Datos!I160)),0))</f>
        <v/>
      </c>
      <c r="J160">
        <f>IF(Datos!A160="","",IF(MAX(C$2:C$301)-MIN(C$2:C$301)&lt;0.000000001,0.5,(C160-MIN(C$2:C$301))/(MAX(C$2:C$301)-MIN(C$2:C$301)))+0.000000001)</f>
        <v/>
      </c>
      <c r="K160">
        <f>IF(Datos!A160="","",IF(MAX(D$2:D$301)-MIN(D$2:D$301)&lt;0.000000001,0.5,(D160-MIN(D$2:D$301))/(MAX(D$2:D$301)-MIN(D$2:D$301)))+0.000000001)</f>
        <v/>
      </c>
      <c r="L160">
        <f>IF(Datos!A160="","",IF(MAX(E$2:E$301)-MIN(E$2:E$301)&lt;0.000000001,0.5,(E160-MIN(E$2:E$301))/(MAX(E$2:E$301)-MIN(E$2:E$301)))+0.000000001)</f>
        <v/>
      </c>
      <c r="M160">
        <f>IF(Datos!A160="","",IF(MAX(F$2:F$301)-MIN(F$2:F$301)&lt;0.000000001,0.5,(F160-MIN(F$2:F$301))/(MAX(F$2:F$301)-MIN(F$2:F$301)))+0.000000001)</f>
        <v/>
      </c>
      <c r="N160">
        <f>IF(Datos!A160="","",IF(MAX(G$2:G$301)-MIN(G$2:G$301)&lt;0.000000001,0.5,(G160-MIN(G$2:G$301))/(MAX(G$2:G$301)-MIN(G$2:G$301)))+0.000000001)</f>
        <v/>
      </c>
      <c r="O160">
        <f>IF(Datos!A160="","",IF(MAX(H$2:H$301)-MIN(H$2:H$301)&lt;0.000000001,0.5,(H160-MIN(H$2:H$301))/(MAX(H$2:H$301)-MIN(H$2:H$301)))+0.000000001)</f>
        <v/>
      </c>
      <c r="Q160">
        <f>IF(Datos!A160="","",(J160/SUM(J$2:J$301))*LN(J160/SUM(J$2:J$301)))</f>
        <v/>
      </c>
      <c r="R160">
        <f>IF(Datos!A160="","",(K160/SUM(K$2:K$301))*LN(K160/SUM(K$2:K$301)))</f>
        <v/>
      </c>
      <c r="S160">
        <f>IF(Datos!A160="","",(L160/SUM(L$2:L$301))*LN(L160/SUM(L$2:L$301)))</f>
        <v/>
      </c>
      <c r="T160">
        <f>IF(Datos!A160="","",(M160/SUM(M$2:M$301))*LN(M160/SUM(M$2:M$301)))</f>
        <v/>
      </c>
      <c r="U160">
        <f>IF(Datos!A160="","",(N160/SUM(N$2:N$301))*LN(N160/SUM(N$2:N$301)))</f>
        <v/>
      </c>
      <c r="V160">
        <f>IF(Datos!A160="","",(O160/SUM(O$2:O$301))*LN(O160/SUM(O$2:O$301)))</f>
        <v/>
      </c>
      <c r="X160">
        <f>IF(Datos!A160="","",IF(SUMSQ(C$2:C$301)=0,0,C160/SQRT(SUMSQ(C$2:C$301)))*$BE$2)</f>
        <v/>
      </c>
      <c r="Y160">
        <f>IF(Datos!A160="","",IF(SUMSQ(D$2:D$301)=0,0,D160/SQRT(SUMSQ(D$2:D$301)))*$BE$3)</f>
        <v/>
      </c>
      <c r="Z160">
        <f>IF(Datos!A160="","",IF(SUMSQ(E$2:E$301)=0,0,E160/SQRT(SUMSQ(E$2:E$301)))*$BE$4)</f>
        <v/>
      </c>
      <c r="AA160">
        <f>IF(Datos!A160="","",IF(SUMSQ(F$2:F$301)=0,0,F160/SQRT(SUMSQ(F$2:F$301)))*$BE$5)</f>
        <v/>
      </c>
      <c r="AB160">
        <f>IF(Datos!A160="","",IF(SUMSQ(G$2:G$301)=0,0,G160/SQRT(SUMSQ(G$2:G$301)))*$BE$6)</f>
        <v/>
      </c>
      <c r="AC160">
        <f>IF(Datos!A160="","",IF(SUMSQ(H$2:H$301)=0,0,H160/SQRT(SUMSQ(H$2:H$301)))*$BE$7)</f>
        <v/>
      </c>
      <c r="AE160">
        <f>IF(Datos!A160="","",SQRT(SUMXMY2(X160:AC160,$X$303:$AC$303)))</f>
        <v/>
      </c>
      <c r="AF160">
        <f>IF(Datos!A160="","",SQRT(SUMXMY2(X160:AC160,$X$304:$AC$304)))</f>
        <v/>
      </c>
      <c r="AG160" s="11">
        <f>IF(Datos!A160="","",IF(AE160+AF160&lt;0.000000001,0.5,AF160/(AE160+AF160)))</f>
        <v/>
      </c>
      <c r="AH160">
        <f>IF(Datos!A160="","",AG160*MAX(C160*D160,1))</f>
        <v/>
      </c>
      <c r="AI160">
        <f>IF(Datos!A160="","",SUMIF($AH$2:$AH$301,"&gt;="&amp;AH160,$AH$2:$AH$301)/SUM($AH$2:$AH$301))</f>
        <v/>
      </c>
      <c r="AJ160" s="12">
        <f>IF(Datos!A160="","",IF(AI160&lt;=Parametros!$B$13,"A",IF(AI160&lt;=Parametros!$B$14,"B","C")))</f>
        <v/>
      </c>
      <c r="AK160" s="13">
        <f>IF(Datos!A160="","",VLOOKUP(AJ160,Parametros!$A$8:$C$10,2,FALSE))</f>
        <v/>
      </c>
      <c r="AL160">
        <f>IF(Datos!A160="","",VLOOKUP(AJ160,Parametros!$A$8:$C$10,3,FALSE))</f>
        <v/>
      </c>
      <c r="AM160">
        <f>IF(Datos!A160="","",NORMSINV(AK160))</f>
        <v/>
      </c>
      <c r="AN160">
        <f>IF(Datos!A160="","",D160/Parametros!$B$4)</f>
        <v/>
      </c>
      <c r="AO160">
        <f>IF(Datos!A160="","",MAX(0,ROUNDUP(AM160*(AN160*Parametros!$B$3)*SQRT((AL160+E160)),0)))</f>
        <v/>
      </c>
      <c r="AP160">
        <f>IF(Datos!A160="","",MAX(1,ROUNDUP(AN160*(AL160+E160)+AM160*(AN160*Parametros!$B$3)*SQRT((AL160+E160)),0)))</f>
        <v/>
      </c>
      <c r="AQ160">
        <f>IF(Datos!A160="","",IF(Datos!J160="","",Datos!J160))</f>
        <v/>
      </c>
      <c r="AR160">
        <f>IF(OR(Datos!A160="",AQ160=""),"",MAX(0,AQ160-AP160))</f>
        <v/>
      </c>
      <c r="AS160" s="10">
        <f>IF(OR(Datos!A160="",AQ160=""),"",AR160*C160)</f>
        <v/>
      </c>
      <c r="AT160" s="12">
        <f>IF(OR(Datos!A160="",AQ160=""),"",IF(AQ160&lt;AO160,"SI",""))</f>
        <v/>
      </c>
      <c r="AU160">
        <f>IF(Datos!A160="","",IF(AT160="SI","Reponer ahora",IF(AND(AQ160&lt;&gt;"",AR160&gt;0),"Bajar "&amp;TEXT(AR160,"#,##0")&amp;" un.","En rango")))</f>
        <v/>
      </c>
    </row>
    <row r="161">
      <c r="A161">
        <f>IF(Datos!A161="","",Datos!A161)</f>
        <v/>
      </c>
      <c r="B161">
        <f>IF(Datos!A161="","",Datos!B161)</f>
        <v/>
      </c>
      <c r="C161">
        <f>IF(Datos!A161="","",IFERROR(MAX(0,N(Datos!D161)),0))</f>
        <v/>
      </c>
      <c r="D161">
        <f>IF(Datos!A161="","",IFERROR(MAX(0,N(Datos!E161)),0))</f>
        <v/>
      </c>
      <c r="E161">
        <f>IF(Datos!A161="","",IFERROR(MAX(0,N(Datos!F161)),0))</f>
        <v/>
      </c>
      <c r="F161">
        <f>IF(Datos!A161="","",IFERROR(MAX(0,N(Datos!G161)),0))</f>
        <v/>
      </c>
      <c r="G161">
        <f>IF(Datos!A161="","",IFERROR(MAX(0,N(Datos!H161)),0))</f>
        <v/>
      </c>
      <c r="H161">
        <f>IF(Datos!A161="","",IFERROR(MAX(0,N(Datos!I161)),0))</f>
        <v/>
      </c>
      <c r="J161">
        <f>IF(Datos!A161="","",IF(MAX(C$2:C$301)-MIN(C$2:C$301)&lt;0.000000001,0.5,(C161-MIN(C$2:C$301))/(MAX(C$2:C$301)-MIN(C$2:C$301)))+0.000000001)</f>
        <v/>
      </c>
      <c r="K161">
        <f>IF(Datos!A161="","",IF(MAX(D$2:D$301)-MIN(D$2:D$301)&lt;0.000000001,0.5,(D161-MIN(D$2:D$301))/(MAX(D$2:D$301)-MIN(D$2:D$301)))+0.000000001)</f>
        <v/>
      </c>
      <c r="L161">
        <f>IF(Datos!A161="","",IF(MAX(E$2:E$301)-MIN(E$2:E$301)&lt;0.000000001,0.5,(E161-MIN(E$2:E$301))/(MAX(E$2:E$301)-MIN(E$2:E$301)))+0.000000001)</f>
        <v/>
      </c>
      <c r="M161">
        <f>IF(Datos!A161="","",IF(MAX(F$2:F$301)-MIN(F$2:F$301)&lt;0.000000001,0.5,(F161-MIN(F$2:F$301))/(MAX(F$2:F$301)-MIN(F$2:F$301)))+0.000000001)</f>
        <v/>
      </c>
      <c r="N161">
        <f>IF(Datos!A161="","",IF(MAX(G$2:G$301)-MIN(G$2:G$301)&lt;0.000000001,0.5,(G161-MIN(G$2:G$301))/(MAX(G$2:G$301)-MIN(G$2:G$301)))+0.000000001)</f>
        <v/>
      </c>
      <c r="O161">
        <f>IF(Datos!A161="","",IF(MAX(H$2:H$301)-MIN(H$2:H$301)&lt;0.000000001,0.5,(H161-MIN(H$2:H$301))/(MAX(H$2:H$301)-MIN(H$2:H$301)))+0.000000001)</f>
        <v/>
      </c>
      <c r="Q161">
        <f>IF(Datos!A161="","",(J161/SUM(J$2:J$301))*LN(J161/SUM(J$2:J$301)))</f>
        <v/>
      </c>
      <c r="R161">
        <f>IF(Datos!A161="","",(K161/SUM(K$2:K$301))*LN(K161/SUM(K$2:K$301)))</f>
        <v/>
      </c>
      <c r="S161">
        <f>IF(Datos!A161="","",(L161/SUM(L$2:L$301))*LN(L161/SUM(L$2:L$301)))</f>
        <v/>
      </c>
      <c r="T161">
        <f>IF(Datos!A161="","",(M161/SUM(M$2:M$301))*LN(M161/SUM(M$2:M$301)))</f>
        <v/>
      </c>
      <c r="U161">
        <f>IF(Datos!A161="","",(N161/SUM(N$2:N$301))*LN(N161/SUM(N$2:N$301)))</f>
        <v/>
      </c>
      <c r="V161">
        <f>IF(Datos!A161="","",(O161/SUM(O$2:O$301))*LN(O161/SUM(O$2:O$301)))</f>
        <v/>
      </c>
      <c r="X161">
        <f>IF(Datos!A161="","",IF(SUMSQ(C$2:C$301)=0,0,C161/SQRT(SUMSQ(C$2:C$301)))*$BE$2)</f>
        <v/>
      </c>
      <c r="Y161">
        <f>IF(Datos!A161="","",IF(SUMSQ(D$2:D$301)=0,0,D161/SQRT(SUMSQ(D$2:D$301)))*$BE$3)</f>
        <v/>
      </c>
      <c r="Z161">
        <f>IF(Datos!A161="","",IF(SUMSQ(E$2:E$301)=0,0,E161/SQRT(SUMSQ(E$2:E$301)))*$BE$4)</f>
        <v/>
      </c>
      <c r="AA161">
        <f>IF(Datos!A161="","",IF(SUMSQ(F$2:F$301)=0,0,F161/SQRT(SUMSQ(F$2:F$301)))*$BE$5)</f>
        <v/>
      </c>
      <c r="AB161">
        <f>IF(Datos!A161="","",IF(SUMSQ(G$2:G$301)=0,0,G161/SQRT(SUMSQ(G$2:G$301)))*$BE$6)</f>
        <v/>
      </c>
      <c r="AC161">
        <f>IF(Datos!A161="","",IF(SUMSQ(H$2:H$301)=0,0,H161/SQRT(SUMSQ(H$2:H$301)))*$BE$7)</f>
        <v/>
      </c>
      <c r="AE161">
        <f>IF(Datos!A161="","",SQRT(SUMXMY2(X161:AC161,$X$303:$AC$303)))</f>
        <v/>
      </c>
      <c r="AF161">
        <f>IF(Datos!A161="","",SQRT(SUMXMY2(X161:AC161,$X$304:$AC$304)))</f>
        <v/>
      </c>
      <c r="AG161" s="11">
        <f>IF(Datos!A161="","",IF(AE161+AF161&lt;0.000000001,0.5,AF161/(AE161+AF161)))</f>
        <v/>
      </c>
      <c r="AH161">
        <f>IF(Datos!A161="","",AG161*MAX(C161*D161,1))</f>
        <v/>
      </c>
      <c r="AI161">
        <f>IF(Datos!A161="","",SUMIF($AH$2:$AH$301,"&gt;="&amp;AH161,$AH$2:$AH$301)/SUM($AH$2:$AH$301))</f>
        <v/>
      </c>
      <c r="AJ161" s="12">
        <f>IF(Datos!A161="","",IF(AI161&lt;=Parametros!$B$13,"A",IF(AI161&lt;=Parametros!$B$14,"B","C")))</f>
        <v/>
      </c>
      <c r="AK161" s="13">
        <f>IF(Datos!A161="","",VLOOKUP(AJ161,Parametros!$A$8:$C$10,2,FALSE))</f>
        <v/>
      </c>
      <c r="AL161">
        <f>IF(Datos!A161="","",VLOOKUP(AJ161,Parametros!$A$8:$C$10,3,FALSE))</f>
        <v/>
      </c>
      <c r="AM161">
        <f>IF(Datos!A161="","",NORMSINV(AK161))</f>
        <v/>
      </c>
      <c r="AN161">
        <f>IF(Datos!A161="","",D161/Parametros!$B$4)</f>
        <v/>
      </c>
      <c r="AO161">
        <f>IF(Datos!A161="","",MAX(0,ROUNDUP(AM161*(AN161*Parametros!$B$3)*SQRT((AL161+E161)),0)))</f>
        <v/>
      </c>
      <c r="AP161">
        <f>IF(Datos!A161="","",MAX(1,ROUNDUP(AN161*(AL161+E161)+AM161*(AN161*Parametros!$B$3)*SQRT((AL161+E161)),0)))</f>
        <v/>
      </c>
      <c r="AQ161">
        <f>IF(Datos!A161="","",IF(Datos!J161="","",Datos!J161))</f>
        <v/>
      </c>
      <c r="AR161">
        <f>IF(OR(Datos!A161="",AQ161=""),"",MAX(0,AQ161-AP161))</f>
        <v/>
      </c>
      <c r="AS161" s="10">
        <f>IF(OR(Datos!A161="",AQ161=""),"",AR161*C161)</f>
        <v/>
      </c>
      <c r="AT161" s="12">
        <f>IF(OR(Datos!A161="",AQ161=""),"",IF(AQ161&lt;AO161,"SI",""))</f>
        <v/>
      </c>
      <c r="AU161">
        <f>IF(Datos!A161="","",IF(AT161="SI","Reponer ahora",IF(AND(AQ161&lt;&gt;"",AR161&gt;0),"Bajar "&amp;TEXT(AR161,"#,##0")&amp;" un.","En rango")))</f>
        <v/>
      </c>
    </row>
    <row r="162">
      <c r="A162">
        <f>IF(Datos!A162="","",Datos!A162)</f>
        <v/>
      </c>
      <c r="B162">
        <f>IF(Datos!A162="","",Datos!B162)</f>
        <v/>
      </c>
      <c r="C162">
        <f>IF(Datos!A162="","",IFERROR(MAX(0,N(Datos!D162)),0))</f>
        <v/>
      </c>
      <c r="D162">
        <f>IF(Datos!A162="","",IFERROR(MAX(0,N(Datos!E162)),0))</f>
        <v/>
      </c>
      <c r="E162">
        <f>IF(Datos!A162="","",IFERROR(MAX(0,N(Datos!F162)),0))</f>
        <v/>
      </c>
      <c r="F162">
        <f>IF(Datos!A162="","",IFERROR(MAX(0,N(Datos!G162)),0))</f>
        <v/>
      </c>
      <c r="G162">
        <f>IF(Datos!A162="","",IFERROR(MAX(0,N(Datos!H162)),0))</f>
        <v/>
      </c>
      <c r="H162">
        <f>IF(Datos!A162="","",IFERROR(MAX(0,N(Datos!I162)),0))</f>
        <v/>
      </c>
      <c r="J162">
        <f>IF(Datos!A162="","",IF(MAX(C$2:C$301)-MIN(C$2:C$301)&lt;0.000000001,0.5,(C162-MIN(C$2:C$301))/(MAX(C$2:C$301)-MIN(C$2:C$301)))+0.000000001)</f>
        <v/>
      </c>
      <c r="K162">
        <f>IF(Datos!A162="","",IF(MAX(D$2:D$301)-MIN(D$2:D$301)&lt;0.000000001,0.5,(D162-MIN(D$2:D$301))/(MAX(D$2:D$301)-MIN(D$2:D$301)))+0.000000001)</f>
        <v/>
      </c>
      <c r="L162">
        <f>IF(Datos!A162="","",IF(MAX(E$2:E$301)-MIN(E$2:E$301)&lt;0.000000001,0.5,(E162-MIN(E$2:E$301))/(MAX(E$2:E$301)-MIN(E$2:E$301)))+0.000000001)</f>
        <v/>
      </c>
      <c r="M162">
        <f>IF(Datos!A162="","",IF(MAX(F$2:F$301)-MIN(F$2:F$301)&lt;0.000000001,0.5,(F162-MIN(F$2:F$301))/(MAX(F$2:F$301)-MIN(F$2:F$301)))+0.000000001)</f>
        <v/>
      </c>
      <c r="N162">
        <f>IF(Datos!A162="","",IF(MAX(G$2:G$301)-MIN(G$2:G$301)&lt;0.000000001,0.5,(G162-MIN(G$2:G$301))/(MAX(G$2:G$301)-MIN(G$2:G$301)))+0.000000001)</f>
        <v/>
      </c>
      <c r="O162">
        <f>IF(Datos!A162="","",IF(MAX(H$2:H$301)-MIN(H$2:H$301)&lt;0.000000001,0.5,(H162-MIN(H$2:H$301))/(MAX(H$2:H$301)-MIN(H$2:H$301)))+0.000000001)</f>
        <v/>
      </c>
      <c r="Q162">
        <f>IF(Datos!A162="","",(J162/SUM(J$2:J$301))*LN(J162/SUM(J$2:J$301)))</f>
        <v/>
      </c>
      <c r="R162">
        <f>IF(Datos!A162="","",(K162/SUM(K$2:K$301))*LN(K162/SUM(K$2:K$301)))</f>
        <v/>
      </c>
      <c r="S162">
        <f>IF(Datos!A162="","",(L162/SUM(L$2:L$301))*LN(L162/SUM(L$2:L$301)))</f>
        <v/>
      </c>
      <c r="T162">
        <f>IF(Datos!A162="","",(M162/SUM(M$2:M$301))*LN(M162/SUM(M$2:M$301)))</f>
        <v/>
      </c>
      <c r="U162">
        <f>IF(Datos!A162="","",(N162/SUM(N$2:N$301))*LN(N162/SUM(N$2:N$301)))</f>
        <v/>
      </c>
      <c r="V162">
        <f>IF(Datos!A162="","",(O162/SUM(O$2:O$301))*LN(O162/SUM(O$2:O$301)))</f>
        <v/>
      </c>
      <c r="X162">
        <f>IF(Datos!A162="","",IF(SUMSQ(C$2:C$301)=0,0,C162/SQRT(SUMSQ(C$2:C$301)))*$BE$2)</f>
        <v/>
      </c>
      <c r="Y162">
        <f>IF(Datos!A162="","",IF(SUMSQ(D$2:D$301)=0,0,D162/SQRT(SUMSQ(D$2:D$301)))*$BE$3)</f>
        <v/>
      </c>
      <c r="Z162">
        <f>IF(Datos!A162="","",IF(SUMSQ(E$2:E$301)=0,0,E162/SQRT(SUMSQ(E$2:E$301)))*$BE$4)</f>
        <v/>
      </c>
      <c r="AA162">
        <f>IF(Datos!A162="","",IF(SUMSQ(F$2:F$301)=0,0,F162/SQRT(SUMSQ(F$2:F$301)))*$BE$5)</f>
        <v/>
      </c>
      <c r="AB162">
        <f>IF(Datos!A162="","",IF(SUMSQ(G$2:G$301)=0,0,G162/SQRT(SUMSQ(G$2:G$301)))*$BE$6)</f>
        <v/>
      </c>
      <c r="AC162">
        <f>IF(Datos!A162="","",IF(SUMSQ(H$2:H$301)=0,0,H162/SQRT(SUMSQ(H$2:H$301)))*$BE$7)</f>
        <v/>
      </c>
      <c r="AE162">
        <f>IF(Datos!A162="","",SQRT(SUMXMY2(X162:AC162,$X$303:$AC$303)))</f>
        <v/>
      </c>
      <c r="AF162">
        <f>IF(Datos!A162="","",SQRT(SUMXMY2(X162:AC162,$X$304:$AC$304)))</f>
        <v/>
      </c>
      <c r="AG162" s="11">
        <f>IF(Datos!A162="","",IF(AE162+AF162&lt;0.000000001,0.5,AF162/(AE162+AF162)))</f>
        <v/>
      </c>
      <c r="AH162">
        <f>IF(Datos!A162="","",AG162*MAX(C162*D162,1))</f>
        <v/>
      </c>
      <c r="AI162">
        <f>IF(Datos!A162="","",SUMIF($AH$2:$AH$301,"&gt;="&amp;AH162,$AH$2:$AH$301)/SUM($AH$2:$AH$301))</f>
        <v/>
      </c>
      <c r="AJ162" s="12">
        <f>IF(Datos!A162="","",IF(AI162&lt;=Parametros!$B$13,"A",IF(AI162&lt;=Parametros!$B$14,"B","C")))</f>
        <v/>
      </c>
      <c r="AK162" s="13">
        <f>IF(Datos!A162="","",VLOOKUP(AJ162,Parametros!$A$8:$C$10,2,FALSE))</f>
        <v/>
      </c>
      <c r="AL162">
        <f>IF(Datos!A162="","",VLOOKUP(AJ162,Parametros!$A$8:$C$10,3,FALSE))</f>
        <v/>
      </c>
      <c r="AM162">
        <f>IF(Datos!A162="","",NORMSINV(AK162))</f>
        <v/>
      </c>
      <c r="AN162">
        <f>IF(Datos!A162="","",D162/Parametros!$B$4)</f>
        <v/>
      </c>
      <c r="AO162">
        <f>IF(Datos!A162="","",MAX(0,ROUNDUP(AM162*(AN162*Parametros!$B$3)*SQRT((AL162+E162)),0)))</f>
        <v/>
      </c>
      <c r="AP162">
        <f>IF(Datos!A162="","",MAX(1,ROUNDUP(AN162*(AL162+E162)+AM162*(AN162*Parametros!$B$3)*SQRT((AL162+E162)),0)))</f>
        <v/>
      </c>
      <c r="AQ162">
        <f>IF(Datos!A162="","",IF(Datos!J162="","",Datos!J162))</f>
        <v/>
      </c>
      <c r="AR162">
        <f>IF(OR(Datos!A162="",AQ162=""),"",MAX(0,AQ162-AP162))</f>
        <v/>
      </c>
      <c r="AS162" s="10">
        <f>IF(OR(Datos!A162="",AQ162=""),"",AR162*C162)</f>
        <v/>
      </c>
      <c r="AT162" s="12">
        <f>IF(OR(Datos!A162="",AQ162=""),"",IF(AQ162&lt;AO162,"SI",""))</f>
        <v/>
      </c>
      <c r="AU162">
        <f>IF(Datos!A162="","",IF(AT162="SI","Reponer ahora",IF(AND(AQ162&lt;&gt;"",AR162&gt;0),"Bajar "&amp;TEXT(AR162,"#,##0")&amp;" un.","En rango")))</f>
        <v/>
      </c>
    </row>
    <row r="163">
      <c r="A163">
        <f>IF(Datos!A163="","",Datos!A163)</f>
        <v/>
      </c>
      <c r="B163">
        <f>IF(Datos!A163="","",Datos!B163)</f>
        <v/>
      </c>
      <c r="C163">
        <f>IF(Datos!A163="","",IFERROR(MAX(0,N(Datos!D163)),0))</f>
        <v/>
      </c>
      <c r="D163">
        <f>IF(Datos!A163="","",IFERROR(MAX(0,N(Datos!E163)),0))</f>
        <v/>
      </c>
      <c r="E163">
        <f>IF(Datos!A163="","",IFERROR(MAX(0,N(Datos!F163)),0))</f>
        <v/>
      </c>
      <c r="F163">
        <f>IF(Datos!A163="","",IFERROR(MAX(0,N(Datos!G163)),0))</f>
        <v/>
      </c>
      <c r="G163">
        <f>IF(Datos!A163="","",IFERROR(MAX(0,N(Datos!H163)),0))</f>
        <v/>
      </c>
      <c r="H163">
        <f>IF(Datos!A163="","",IFERROR(MAX(0,N(Datos!I163)),0))</f>
        <v/>
      </c>
      <c r="J163">
        <f>IF(Datos!A163="","",IF(MAX(C$2:C$301)-MIN(C$2:C$301)&lt;0.000000001,0.5,(C163-MIN(C$2:C$301))/(MAX(C$2:C$301)-MIN(C$2:C$301)))+0.000000001)</f>
        <v/>
      </c>
      <c r="K163">
        <f>IF(Datos!A163="","",IF(MAX(D$2:D$301)-MIN(D$2:D$301)&lt;0.000000001,0.5,(D163-MIN(D$2:D$301))/(MAX(D$2:D$301)-MIN(D$2:D$301)))+0.000000001)</f>
        <v/>
      </c>
      <c r="L163">
        <f>IF(Datos!A163="","",IF(MAX(E$2:E$301)-MIN(E$2:E$301)&lt;0.000000001,0.5,(E163-MIN(E$2:E$301))/(MAX(E$2:E$301)-MIN(E$2:E$301)))+0.000000001)</f>
        <v/>
      </c>
      <c r="M163">
        <f>IF(Datos!A163="","",IF(MAX(F$2:F$301)-MIN(F$2:F$301)&lt;0.000000001,0.5,(F163-MIN(F$2:F$301))/(MAX(F$2:F$301)-MIN(F$2:F$301)))+0.000000001)</f>
        <v/>
      </c>
      <c r="N163">
        <f>IF(Datos!A163="","",IF(MAX(G$2:G$301)-MIN(G$2:G$301)&lt;0.000000001,0.5,(G163-MIN(G$2:G$301))/(MAX(G$2:G$301)-MIN(G$2:G$301)))+0.000000001)</f>
        <v/>
      </c>
      <c r="O163">
        <f>IF(Datos!A163="","",IF(MAX(H$2:H$301)-MIN(H$2:H$301)&lt;0.000000001,0.5,(H163-MIN(H$2:H$301))/(MAX(H$2:H$301)-MIN(H$2:H$301)))+0.000000001)</f>
        <v/>
      </c>
      <c r="Q163">
        <f>IF(Datos!A163="","",(J163/SUM(J$2:J$301))*LN(J163/SUM(J$2:J$301)))</f>
        <v/>
      </c>
      <c r="R163">
        <f>IF(Datos!A163="","",(K163/SUM(K$2:K$301))*LN(K163/SUM(K$2:K$301)))</f>
        <v/>
      </c>
      <c r="S163">
        <f>IF(Datos!A163="","",(L163/SUM(L$2:L$301))*LN(L163/SUM(L$2:L$301)))</f>
        <v/>
      </c>
      <c r="T163">
        <f>IF(Datos!A163="","",(M163/SUM(M$2:M$301))*LN(M163/SUM(M$2:M$301)))</f>
        <v/>
      </c>
      <c r="U163">
        <f>IF(Datos!A163="","",(N163/SUM(N$2:N$301))*LN(N163/SUM(N$2:N$301)))</f>
        <v/>
      </c>
      <c r="V163">
        <f>IF(Datos!A163="","",(O163/SUM(O$2:O$301))*LN(O163/SUM(O$2:O$301)))</f>
        <v/>
      </c>
      <c r="X163">
        <f>IF(Datos!A163="","",IF(SUMSQ(C$2:C$301)=0,0,C163/SQRT(SUMSQ(C$2:C$301)))*$BE$2)</f>
        <v/>
      </c>
      <c r="Y163">
        <f>IF(Datos!A163="","",IF(SUMSQ(D$2:D$301)=0,0,D163/SQRT(SUMSQ(D$2:D$301)))*$BE$3)</f>
        <v/>
      </c>
      <c r="Z163">
        <f>IF(Datos!A163="","",IF(SUMSQ(E$2:E$301)=0,0,E163/SQRT(SUMSQ(E$2:E$301)))*$BE$4)</f>
        <v/>
      </c>
      <c r="AA163">
        <f>IF(Datos!A163="","",IF(SUMSQ(F$2:F$301)=0,0,F163/SQRT(SUMSQ(F$2:F$301)))*$BE$5)</f>
        <v/>
      </c>
      <c r="AB163">
        <f>IF(Datos!A163="","",IF(SUMSQ(G$2:G$301)=0,0,G163/SQRT(SUMSQ(G$2:G$301)))*$BE$6)</f>
        <v/>
      </c>
      <c r="AC163">
        <f>IF(Datos!A163="","",IF(SUMSQ(H$2:H$301)=0,0,H163/SQRT(SUMSQ(H$2:H$301)))*$BE$7)</f>
        <v/>
      </c>
      <c r="AE163">
        <f>IF(Datos!A163="","",SQRT(SUMXMY2(X163:AC163,$X$303:$AC$303)))</f>
        <v/>
      </c>
      <c r="AF163">
        <f>IF(Datos!A163="","",SQRT(SUMXMY2(X163:AC163,$X$304:$AC$304)))</f>
        <v/>
      </c>
      <c r="AG163" s="11">
        <f>IF(Datos!A163="","",IF(AE163+AF163&lt;0.000000001,0.5,AF163/(AE163+AF163)))</f>
        <v/>
      </c>
      <c r="AH163">
        <f>IF(Datos!A163="","",AG163*MAX(C163*D163,1))</f>
        <v/>
      </c>
      <c r="AI163">
        <f>IF(Datos!A163="","",SUMIF($AH$2:$AH$301,"&gt;="&amp;AH163,$AH$2:$AH$301)/SUM($AH$2:$AH$301))</f>
        <v/>
      </c>
      <c r="AJ163" s="12">
        <f>IF(Datos!A163="","",IF(AI163&lt;=Parametros!$B$13,"A",IF(AI163&lt;=Parametros!$B$14,"B","C")))</f>
        <v/>
      </c>
      <c r="AK163" s="13">
        <f>IF(Datos!A163="","",VLOOKUP(AJ163,Parametros!$A$8:$C$10,2,FALSE))</f>
        <v/>
      </c>
      <c r="AL163">
        <f>IF(Datos!A163="","",VLOOKUP(AJ163,Parametros!$A$8:$C$10,3,FALSE))</f>
        <v/>
      </c>
      <c r="AM163">
        <f>IF(Datos!A163="","",NORMSINV(AK163))</f>
        <v/>
      </c>
      <c r="AN163">
        <f>IF(Datos!A163="","",D163/Parametros!$B$4)</f>
        <v/>
      </c>
      <c r="AO163">
        <f>IF(Datos!A163="","",MAX(0,ROUNDUP(AM163*(AN163*Parametros!$B$3)*SQRT((AL163+E163)),0)))</f>
        <v/>
      </c>
      <c r="AP163">
        <f>IF(Datos!A163="","",MAX(1,ROUNDUP(AN163*(AL163+E163)+AM163*(AN163*Parametros!$B$3)*SQRT((AL163+E163)),0)))</f>
        <v/>
      </c>
      <c r="AQ163">
        <f>IF(Datos!A163="","",IF(Datos!J163="","",Datos!J163))</f>
        <v/>
      </c>
      <c r="AR163">
        <f>IF(OR(Datos!A163="",AQ163=""),"",MAX(0,AQ163-AP163))</f>
        <v/>
      </c>
      <c r="AS163" s="10">
        <f>IF(OR(Datos!A163="",AQ163=""),"",AR163*C163)</f>
        <v/>
      </c>
      <c r="AT163" s="12">
        <f>IF(OR(Datos!A163="",AQ163=""),"",IF(AQ163&lt;AO163,"SI",""))</f>
        <v/>
      </c>
      <c r="AU163">
        <f>IF(Datos!A163="","",IF(AT163="SI","Reponer ahora",IF(AND(AQ163&lt;&gt;"",AR163&gt;0),"Bajar "&amp;TEXT(AR163,"#,##0")&amp;" un.","En rango")))</f>
        <v/>
      </c>
    </row>
    <row r="164">
      <c r="A164">
        <f>IF(Datos!A164="","",Datos!A164)</f>
        <v/>
      </c>
      <c r="B164">
        <f>IF(Datos!A164="","",Datos!B164)</f>
        <v/>
      </c>
      <c r="C164">
        <f>IF(Datos!A164="","",IFERROR(MAX(0,N(Datos!D164)),0))</f>
        <v/>
      </c>
      <c r="D164">
        <f>IF(Datos!A164="","",IFERROR(MAX(0,N(Datos!E164)),0))</f>
        <v/>
      </c>
      <c r="E164">
        <f>IF(Datos!A164="","",IFERROR(MAX(0,N(Datos!F164)),0))</f>
        <v/>
      </c>
      <c r="F164">
        <f>IF(Datos!A164="","",IFERROR(MAX(0,N(Datos!G164)),0))</f>
        <v/>
      </c>
      <c r="G164">
        <f>IF(Datos!A164="","",IFERROR(MAX(0,N(Datos!H164)),0))</f>
        <v/>
      </c>
      <c r="H164">
        <f>IF(Datos!A164="","",IFERROR(MAX(0,N(Datos!I164)),0))</f>
        <v/>
      </c>
      <c r="J164">
        <f>IF(Datos!A164="","",IF(MAX(C$2:C$301)-MIN(C$2:C$301)&lt;0.000000001,0.5,(C164-MIN(C$2:C$301))/(MAX(C$2:C$301)-MIN(C$2:C$301)))+0.000000001)</f>
        <v/>
      </c>
      <c r="K164">
        <f>IF(Datos!A164="","",IF(MAX(D$2:D$301)-MIN(D$2:D$301)&lt;0.000000001,0.5,(D164-MIN(D$2:D$301))/(MAX(D$2:D$301)-MIN(D$2:D$301)))+0.000000001)</f>
        <v/>
      </c>
      <c r="L164">
        <f>IF(Datos!A164="","",IF(MAX(E$2:E$301)-MIN(E$2:E$301)&lt;0.000000001,0.5,(E164-MIN(E$2:E$301))/(MAX(E$2:E$301)-MIN(E$2:E$301)))+0.000000001)</f>
        <v/>
      </c>
      <c r="M164">
        <f>IF(Datos!A164="","",IF(MAX(F$2:F$301)-MIN(F$2:F$301)&lt;0.000000001,0.5,(F164-MIN(F$2:F$301))/(MAX(F$2:F$301)-MIN(F$2:F$301)))+0.000000001)</f>
        <v/>
      </c>
      <c r="N164">
        <f>IF(Datos!A164="","",IF(MAX(G$2:G$301)-MIN(G$2:G$301)&lt;0.000000001,0.5,(G164-MIN(G$2:G$301))/(MAX(G$2:G$301)-MIN(G$2:G$301)))+0.000000001)</f>
        <v/>
      </c>
      <c r="O164">
        <f>IF(Datos!A164="","",IF(MAX(H$2:H$301)-MIN(H$2:H$301)&lt;0.000000001,0.5,(H164-MIN(H$2:H$301))/(MAX(H$2:H$301)-MIN(H$2:H$301)))+0.000000001)</f>
        <v/>
      </c>
      <c r="Q164">
        <f>IF(Datos!A164="","",(J164/SUM(J$2:J$301))*LN(J164/SUM(J$2:J$301)))</f>
        <v/>
      </c>
      <c r="R164">
        <f>IF(Datos!A164="","",(K164/SUM(K$2:K$301))*LN(K164/SUM(K$2:K$301)))</f>
        <v/>
      </c>
      <c r="S164">
        <f>IF(Datos!A164="","",(L164/SUM(L$2:L$301))*LN(L164/SUM(L$2:L$301)))</f>
        <v/>
      </c>
      <c r="T164">
        <f>IF(Datos!A164="","",(M164/SUM(M$2:M$301))*LN(M164/SUM(M$2:M$301)))</f>
        <v/>
      </c>
      <c r="U164">
        <f>IF(Datos!A164="","",(N164/SUM(N$2:N$301))*LN(N164/SUM(N$2:N$301)))</f>
        <v/>
      </c>
      <c r="V164">
        <f>IF(Datos!A164="","",(O164/SUM(O$2:O$301))*LN(O164/SUM(O$2:O$301)))</f>
        <v/>
      </c>
      <c r="X164">
        <f>IF(Datos!A164="","",IF(SUMSQ(C$2:C$301)=0,0,C164/SQRT(SUMSQ(C$2:C$301)))*$BE$2)</f>
        <v/>
      </c>
      <c r="Y164">
        <f>IF(Datos!A164="","",IF(SUMSQ(D$2:D$301)=0,0,D164/SQRT(SUMSQ(D$2:D$301)))*$BE$3)</f>
        <v/>
      </c>
      <c r="Z164">
        <f>IF(Datos!A164="","",IF(SUMSQ(E$2:E$301)=0,0,E164/SQRT(SUMSQ(E$2:E$301)))*$BE$4)</f>
        <v/>
      </c>
      <c r="AA164">
        <f>IF(Datos!A164="","",IF(SUMSQ(F$2:F$301)=0,0,F164/SQRT(SUMSQ(F$2:F$301)))*$BE$5)</f>
        <v/>
      </c>
      <c r="AB164">
        <f>IF(Datos!A164="","",IF(SUMSQ(G$2:G$301)=0,0,G164/SQRT(SUMSQ(G$2:G$301)))*$BE$6)</f>
        <v/>
      </c>
      <c r="AC164">
        <f>IF(Datos!A164="","",IF(SUMSQ(H$2:H$301)=0,0,H164/SQRT(SUMSQ(H$2:H$301)))*$BE$7)</f>
        <v/>
      </c>
      <c r="AE164">
        <f>IF(Datos!A164="","",SQRT(SUMXMY2(X164:AC164,$X$303:$AC$303)))</f>
        <v/>
      </c>
      <c r="AF164">
        <f>IF(Datos!A164="","",SQRT(SUMXMY2(X164:AC164,$X$304:$AC$304)))</f>
        <v/>
      </c>
      <c r="AG164" s="11">
        <f>IF(Datos!A164="","",IF(AE164+AF164&lt;0.000000001,0.5,AF164/(AE164+AF164)))</f>
        <v/>
      </c>
      <c r="AH164">
        <f>IF(Datos!A164="","",AG164*MAX(C164*D164,1))</f>
        <v/>
      </c>
      <c r="AI164">
        <f>IF(Datos!A164="","",SUMIF($AH$2:$AH$301,"&gt;="&amp;AH164,$AH$2:$AH$301)/SUM($AH$2:$AH$301))</f>
        <v/>
      </c>
      <c r="AJ164" s="12">
        <f>IF(Datos!A164="","",IF(AI164&lt;=Parametros!$B$13,"A",IF(AI164&lt;=Parametros!$B$14,"B","C")))</f>
        <v/>
      </c>
      <c r="AK164" s="13">
        <f>IF(Datos!A164="","",VLOOKUP(AJ164,Parametros!$A$8:$C$10,2,FALSE))</f>
        <v/>
      </c>
      <c r="AL164">
        <f>IF(Datos!A164="","",VLOOKUP(AJ164,Parametros!$A$8:$C$10,3,FALSE))</f>
        <v/>
      </c>
      <c r="AM164">
        <f>IF(Datos!A164="","",NORMSINV(AK164))</f>
        <v/>
      </c>
      <c r="AN164">
        <f>IF(Datos!A164="","",D164/Parametros!$B$4)</f>
        <v/>
      </c>
      <c r="AO164">
        <f>IF(Datos!A164="","",MAX(0,ROUNDUP(AM164*(AN164*Parametros!$B$3)*SQRT((AL164+E164)),0)))</f>
        <v/>
      </c>
      <c r="AP164">
        <f>IF(Datos!A164="","",MAX(1,ROUNDUP(AN164*(AL164+E164)+AM164*(AN164*Parametros!$B$3)*SQRT((AL164+E164)),0)))</f>
        <v/>
      </c>
      <c r="AQ164">
        <f>IF(Datos!A164="","",IF(Datos!J164="","",Datos!J164))</f>
        <v/>
      </c>
      <c r="AR164">
        <f>IF(OR(Datos!A164="",AQ164=""),"",MAX(0,AQ164-AP164))</f>
        <v/>
      </c>
      <c r="AS164" s="10">
        <f>IF(OR(Datos!A164="",AQ164=""),"",AR164*C164)</f>
        <v/>
      </c>
      <c r="AT164" s="12">
        <f>IF(OR(Datos!A164="",AQ164=""),"",IF(AQ164&lt;AO164,"SI",""))</f>
        <v/>
      </c>
      <c r="AU164">
        <f>IF(Datos!A164="","",IF(AT164="SI","Reponer ahora",IF(AND(AQ164&lt;&gt;"",AR164&gt;0),"Bajar "&amp;TEXT(AR164,"#,##0")&amp;" un.","En rango")))</f>
        <v/>
      </c>
    </row>
    <row r="165">
      <c r="A165">
        <f>IF(Datos!A165="","",Datos!A165)</f>
        <v/>
      </c>
      <c r="B165">
        <f>IF(Datos!A165="","",Datos!B165)</f>
        <v/>
      </c>
      <c r="C165">
        <f>IF(Datos!A165="","",IFERROR(MAX(0,N(Datos!D165)),0))</f>
        <v/>
      </c>
      <c r="D165">
        <f>IF(Datos!A165="","",IFERROR(MAX(0,N(Datos!E165)),0))</f>
        <v/>
      </c>
      <c r="E165">
        <f>IF(Datos!A165="","",IFERROR(MAX(0,N(Datos!F165)),0))</f>
        <v/>
      </c>
      <c r="F165">
        <f>IF(Datos!A165="","",IFERROR(MAX(0,N(Datos!G165)),0))</f>
        <v/>
      </c>
      <c r="G165">
        <f>IF(Datos!A165="","",IFERROR(MAX(0,N(Datos!H165)),0))</f>
        <v/>
      </c>
      <c r="H165">
        <f>IF(Datos!A165="","",IFERROR(MAX(0,N(Datos!I165)),0))</f>
        <v/>
      </c>
      <c r="J165">
        <f>IF(Datos!A165="","",IF(MAX(C$2:C$301)-MIN(C$2:C$301)&lt;0.000000001,0.5,(C165-MIN(C$2:C$301))/(MAX(C$2:C$301)-MIN(C$2:C$301)))+0.000000001)</f>
        <v/>
      </c>
      <c r="K165">
        <f>IF(Datos!A165="","",IF(MAX(D$2:D$301)-MIN(D$2:D$301)&lt;0.000000001,0.5,(D165-MIN(D$2:D$301))/(MAX(D$2:D$301)-MIN(D$2:D$301)))+0.000000001)</f>
        <v/>
      </c>
      <c r="L165">
        <f>IF(Datos!A165="","",IF(MAX(E$2:E$301)-MIN(E$2:E$301)&lt;0.000000001,0.5,(E165-MIN(E$2:E$301))/(MAX(E$2:E$301)-MIN(E$2:E$301)))+0.000000001)</f>
        <v/>
      </c>
      <c r="M165">
        <f>IF(Datos!A165="","",IF(MAX(F$2:F$301)-MIN(F$2:F$301)&lt;0.000000001,0.5,(F165-MIN(F$2:F$301))/(MAX(F$2:F$301)-MIN(F$2:F$301)))+0.000000001)</f>
        <v/>
      </c>
      <c r="N165">
        <f>IF(Datos!A165="","",IF(MAX(G$2:G$301)-MIN(G$2:G$301)&lt;0.000000001,0.5,(G165-MIN(G$2:G$301))/(MAX(G$2:G$301)-MIN(G$2:G$301)))+0.000000001)</f>
        <v/>
      </c>
      <c r="O165">
        <f>IF(Datos!A165="","",IF(MAX(H$2:H$301)-MIN(H$2:H$301)&lt;0.000000001,0.5,(H165-MIN(H$2:H$301))/(MAX(H$2:H$301)-MIN(H$2:H$301)))+0.000000001)</f>
        <v/>
      </c>
      <c r="Q165">
        <f>IF(Datos!A165="","",(J165/SUM(J$2:J$301))*LN(J165/SUM(J$2:J$301)))</f>
        <v/>
      </c>
      <c r="R165">
        <f>IF(Datos!A165="","",(K165/SUM(K$2:K$301))*LN(K165/SUM(K$2:K$301)))</f>
        <v/>
      </c>
      <c r="S165">
        <f>IF(Datos!A165="","",(L165/SUM(L$2:L$301))*LN(L165/SUM(L$2:L$301)))</f>
        <v/>
      </c>
      <c r="T165">
        <f>IF(Datos!A165="","",(M165/SUM(M$2:M$301))*LN(M165/SUM(M$2:M$301)))</f>
        <v/>
      </c>
      <c r="U165">
        <f>IF(Datos!A165="","",(N165/SUM(N$2:N$301))*LN(N165/SUM(N$2:N$301)))</f>
        <v/>
      </c>
      <c r="V165">
        <f>IF(Datos!A165="","",(O165/SUM(O$2:O$301))*LN(O165/SUM(O$2:O$301)))</f>
        <v/>
      </c>
      <c r="X165">
        <f>IF(Datos!A165="","",IF(SUMSQ(C$2:C$301)=0,0,C165/SQRT(SUMSQ(C$2:C$301)))*$BE$2)</f>
        <v/>
      </c>
      <c r="Y165">
        <f>IF(Datos!A165="","",IF(SUMSQ(D$2:D$301)=0,0,D165/SQRT(SUMSQ(D$2:D$301)))*$BE$3)</f>
        <v/>
      </c>
      <c r="Z165">
        <f>IF(Datos!A165="","",IF(SUMSQ(E$2:E$301)=0,0,E165/SQRT(SUMSQ(E$2:E$301)))*$BE$4)</f>
        <v/>
      </c>
      <c r="AA165">
        <f>IF(Datos!A165="","",IF(SUMSQ(F$2:F$301)=0,0,F165/SQRT(SUMSQ(F$2:F$301)))*$BE$5)</f>
        <v/>
      </c>
      <c r="AB165">
        <f>IF(Datos!A165="","",IF(SUMSQ(G$2:G$301)=0,0,G165/SQRT(SUMSQ(G$2:G$301)))*$BE$6)</f>
        <v/>
      </c>
      <c r="AC165">
        <f>IF(Datos!A165="","",IF(SUMSQ(H$2:H$301)=0,0,H165/SQRT(SUMSQ(H$2:H$301)))*$BE$7)</f>
        <v/>
      </c>
      <c r="AE165">
        <f>IF(Datos!A165="","",SQRT(SUMXMY2(X165:AC165,$X$303:$AC$303)))</f>
        <v/>
      </c>
      <c r="AF165">
        <f>IF(Datos!A165="","",SQRT(SUMXMY2(X165:AC165,$X$304:$AC$304)))</f>
        <v/>
      </c>
      <c r="AG165" s="11">
        <f>IF(Datos!A165="","",IF(AE165+AF165&lt;0.000000001,0.5,AF165/(AE165+AF165)))</f>
        <v/>
      </c>
      <c r="AH165">
        <f>IF(Datos!A165="","",AG165*MAX(C165*D165,1))</f>
        <v/>
      </c>
      <c r="AI165">
        <f>IF(Datos!A165="","",SUMIF($AH$2:$AH$301,"&gt;="&amp;AH165,$AH$2:$AH$301)/SUM($AH$2:$AH$301))</f>
        <v/>
      </c>
      <c r="AJ165" s="12">
        <f>IF(Datos!A165="","",IF(AI165&lt;=Parametros!$B$13,"A",IF(AI165&lt;=Parametros!$B$14,"B","C")))</f>
        <v/>
      </c>
      <c r="AK165" s="13">
        <f>IF(Datos!A165="","",VLOOKUP(AJ165,Parametros!$A$8:$C$10,2,FALSE))</f>
        <v/>
      </c>
      <c r="AL165">
        <f>IF(Datos!A165="","",VLOOKUP(AJ165,Parametros!$A$8:$C$10,3,FALSE))</f>
        <v/>
      </c>
      <c r="AM165">
        <f>IF(Datos!A165="","",NORMSINV(AK165))</f>
        <v/>
      </c>
      <c r="AN165">
        <f>IF(Datos!A165="","",D165/Parametros!$B$4)</f>
        <v/>
      </c>
      <c r="AO165">
        <f>IF(Datos!A165="","",MAX(0,ROUNDUP(AM165*(AN165*Parametros!$B$3)*SQRT((AL165+E165)),0)))</f>
        <v/>
      </c>
      <c r="AP165">
        <f>IF(Datos!A165="","",MAX(1,ROUNDUP(AN165*(AL165+E165)+AM165*(AN165*Parametros!$B$3)*SQRT((AL165+E165)),0)))</f>
        <v/>
      </c>
      <c r="AQ165">
        <f>IF(Datos!A165="","",IF(Datos!J165="","",Datos!J165))</f>
        <v/>
      </c>
      <c r="AR165">
        <f>IF(OR(Datos!A165="",AQ165=""),"",MAX(0,AQ165-AP165))</f>
        <v/>
      </c>
      <c r="AS165" s="10">
        <f>IF(OR(Datos!A165="",AQ165=""),"",AR165*C165)</f>
        <v/>
      </c>
      <c r="AT165" s="12">
        <f>IF(OR(Datos!A165="",AQ165=""),"",IF(AQ165&lt;AO165,"SI",""))</f>
        <v/>
      </c>
      <c r="AU165">
        <f>IF(Datos!A165="","",IF(AT165="SI","Reponer ahora",IF(AND(AQ165&lt;&gt;"",AR165&gt;0),"Bajar "&amp;TEXT(AR165,"#,##0")&amp;" un.","En rango")))</f>
        <v/>
      </c>
    </row>
    <row r="166">
      <c r="A166">
        <f>IF(Datos!A166="","",Datos!A166)</f>
        <v/>
      </c>
      <c r="B166">
        <f>IF(Datos!A166="","",Datos!B166)</f>
        <v/>
      </c>
      <c r="C166">
        <f>IF(Datos!A166="","",IFERROR(MAX(0,N(Datos!D166)),0))</f>
        <v/>
      </c>
      <c r="D166">
        <f>IF(Datos!A166="","",IFERROR(MAX(0,N(Datos!E166)),0))</f>
        <v/>
      </c>
      <c r="E166">
        <f>IF(Datos!A166="","",IFERROR(MAX(0,N(Datos!F166)),0))</f>
        <v/>
      </c>
      <c r="F166">
        <f>IF(Datos!A166="","",IFERROR(MAX(0,N(Datos!G166)),0))</f>
        <v/>
      </c>
      <c r="G166">
        <f>IF(Datos!A166="","",IFERROR(MAX(0,N(Datos!H166)),0))</f>
        <v/>
      </c>
      <c r="H166">
        <f>IF(Datos!A166="","",IFERROR(MAX(0,N(Datos!I166)),0))</f>
        <v/>
      </c>
      <c r="J166">
        <f>IF(Datos!A166="","",IF(MAX(C$2:C$301)-MIN(C$2:C$301)&lt;0.000000001,0.5,(C166-MIN(C$2:C$301))/(MAX(C$2:C$301)-MIN(C$2:C$301)))+0.000000001)</f>
        <v/>
      </c>
      <c r="K166">
        <f>IF(Datos!A166="","",IF(MAX(D$2:D$301)-MIN(D$2:D$301)&lt;0.000000001,0.5,(D166-MIN(D$2:D$301))/(MAX(D$2:D$301)-MIN(D$2:D$301)))+0.000000001)</f>
        <v/>
      </c>
      <c r="L166">
        <f>IF(Datos!A166="","",IF(MAX(E$2:E$301)-MIN(E$2:E$301)&lt;0.000000001,0.5,(E166-MIN(E$2:E$301))/(MAX(E$2:E$301)-MIN(E$2:E$301)))+0.000000001)</f>
        <v/>
      </c>
      <c r="M166">
        <f>IF(Datos!A166="","",IF(MAX(F$2:F$301)-MIN(F$2:F$301)&lt;0.000000001,0.5,(F166-MIN(F$2:F$301))/(MAX(F$2:F$301)-MIN(F$2:F$301)))+0.000000001)</f>
        <v/>
      </c>
      <c r="N166">
        <f>IF(Datos!A166="","",IF(MAX(G$2:G$301)-MIN(G$2:G$301)&lt;0.000000001,0.5,(G166-MIN(G$2:G$301))/(MAX(G$2:G$301)-MIN(G$2:G$301)))+0.000000001)</f>
        <v/>
      </c>
      <c r="O166">
        <f>IF(Datos!A166="","",IF(MAX(H$2:H$301)-MIN(H$2:H$301)&lt;0.000000001,0.5,(H166-MIN(H$2:H$301))/(MAX(H$2:H$301)-MIN(H$2:H$301)))+0.000000001)</f>
        <v/>
      </c>
      <c r="Q166">
        <f>IF(Datos!A166="","",(J166/SUM(J$2:J$301))*LN(J166/SUM(J$2:J$301)))</f>
        <v/>
      </c>
      <c r="R166">
        <f>IF(Datos!A166="","",(K166/SUM(K$2:K$301))*LN(K166/SUM(K$2:K$301)))</f>
        <v/>
      </c>
      <c r="S166">
        <f>IF(Datos!A166="","",(L166/SUM(L$2:L$301))*LN(L166/SUM(L$2:L$301)))</f>
        <v/>
      </c>
      <c r="T166">
        <f>IF(Datos!A166="","",(M166/SUM(M$2:M$301))*LN(M166/SUM(M$2:M$301)))</f>
        <v/>
      </c>
      <c r="U166">
        <f>IF(Datos!A166="","",(N166/SUM(N$2:N$301))*LN(N166/SUM(N$2:N$301)))</f>
        <v/>
      </c>
      <c r="V166">
        <f>IF(Datos!A166="","",(O166/SUM(O$2:O$301))*LN(O166/SUM(O$2:O$301)))</f>
        <v/>
      </c>
      <c r="X166">
        <f>IF(Datos!A166="","",IF(SUMSQ(C$2:C$301)=0,0,C166/SQRT(SUMSQ(C$2:C$301)))*$BE$2)</f>
        <v/>
      </c>
      <c r="Y166">
        <f>IF(Datos!A166="","",IF(SUMSQ(D$2:D$301)=0,0,D166/SQRT(SUMSQ(D$2:D$301)))*$BE$3)</f>
        <v/>
      </c>
      <c r="Z166">
        <f>IF(Datos!A166="","",IF(SUMSQ(E$2:E$301)=0,0,E166/SQRT(SUMSQ(E$2:E$301)))*$BE$4)</f>
        <v/>
      </c>
      <c r="AA166">
        <f>IF(Datos!A166="","",IF(SUMSQ(F$2:F$301)=0,0,F166/SQRT(SUMSQ(F$2:F$301)))*$BE$5)</f>
        <v/>
      </c>
      <c r="AB166">
        <f>IF(Datos!A166="","",IF(SUMSQ(G$2:G$301)=0,0,G166/SQRT(SUMSQ(G$2:G$301)))*$BE$6)</f>
        <v/>
      </c>
      <c r="AC166">
        <f>IF(Datos!A166="","",IF(SUMSQ(H$2:H$301)=0,0,H166/SQRT(SUMSQ(H$2:H$301)))*$BE$7)</f>
        <v/>
      </c>
      <c r="AE166">
        <f>IF(Datos!A166="","",SQRT(SUMXMY2(X166:AC166,$X$303:$AC$303)))</f>
        <v/>
      </c>
      <c r="AF166">
        <f>IF(Datos!A166="","",SQRT(SUMXMY2(X166:AC166,$X$304:$AC$304)))</f>
        <v/>
      </c>
      <c r="AG166" s="11">
        <f>IF(Datos!A166="","",IF(AE166+AF166&lt;0.000000001,0.5,AF166/(AE166+AF166)))</f>
        <v/>
      </c>
      <c r="AH166">
        <f>IF(Datos!A166="","",AG166*MAX(C166*D166,1))</f>
        <v/>
      </c>
      <c r="AI166">
        <f>IF(Datos!A166="","",SUMIF($AH$2:$AH$301,"&gt;="&amp;AH166,$AH$2:$AH$301)/SUM($AH$2:$AH$301))</f>
        <v/>
      </c>
      <c r="AJ166" s="12">
        <f>IF(Datos!A166="","",IF(AI166&lt;=Parametros!$B$13,"A",IF(AI166&lt;=Parametros!$B$14,"B","C")))</f>
        <v/>
      </c>
      <c r="AK166" s="13">
        <f>IF(Datos!A166="","",VLOOKUP(AJ166,Parametros!$A$8:$C$10,2,FALSE))</f>
        <v/>
      </c>
      <c r="AL166">
        <f>IF(Datos!A166="","",VLOOKUP(AJ166,Parametros!$A$8:$C$10,3,FALSE))</f>
        <v/>
      </c>
      <c r="AM166">
        <f>IF(Datos!A166="","",NORMSINV(AK166))</f>
        <v/>
      </c>
      <c r="AN166">
        <f>IF(Datos!A166="","",D166/Parametros!$B$4)</f>
        <v/>
      </c>
      <c r="AO166">
        <f>IF(Datos!A166="","",MAX(0,ROUNDUP(AM166*(AN166*Parametros!$B$3)*SQRT((AL166+E166)),0)))</f>
        <v/>
      </c>
      <c r="AP166">
        <f>IF(Datos!A166="","",MAX(1,ROUNDUP(AN166*(AL166+E166)+AM166*(AN166*Parametros!$B$3)*SQRT((AL166+E166)),0)))</f>
        <v/>
      </c>
      <c r="AQ166">
        <f>IF(Datos!A166="","",IF(Datos!J166="","",Datos!J166))</f>
        <v/>
      </c>
      <c r="AR166">
        <f>IF(OR(Datos!A166="",AQ166=""),"",MAX(0,AQ166-AP166))</f>
        <v/>
      </c>
      <c r="AS166" s="10">
        <f>IF(OR(Datos!A166="",AQ166=""),"",AR166*C166)</f>
        <v/>
      </c>
      <c r="AT166" s="12">
        <f>IF(OR(Datos!A166="",AQ166=""),"",IF(AQ166&lt;AO166,"SI",""))</f>
        <v/>
      </c>
      <c r="AU166">
        <f>IF(Datos!A166="","",IF(AT166="SI","Reponer ahora",IF(AND(AQ166&lt;&gt;"",AR166&gt;0),"Bajar "&amp;TEXT(AR166,"#,##0")&amp;" un.","En rango")))</f>
        <v/>
      </c>
    </row>
    <row r="167">
      <c r="A167">
        <f>IF(Datos!A167="","",Datos!A167)</f>
        <v/>
      </c>
      <c r="B167">
        <f>IF(Datos!A167="","",Datos!B167)</f>
        <v/>
      </c>
      <c r="C167">
        <f>IF(Datos!A167="","",IFERROR(MAX(0,N(Datos!D167)),0))</f>
        <v/>
      </c>
      <c r="D167">
        <f>IF(Datos!A167="","",IFERROR(MAX(0,N(Datos!E167)),0))</f>
        <v/>
      </c>
      <c r="E167">
        <f>IF(Datos!A167="","",IFERROR(MAX(0,N(Datos!F167)),0))</f>
        <v/>
      </c>
      <c r="F167">
        <f>IF(Datos!A167="","",IFERROR(MAX(0,N(Datos!G167)),0))</f>
        <v/>
      </c>
      <c r="G167">
        <f>IF(Datos!A167="","",IFERROR(MAX(0,N(Datos!H167)),0))</f>
        <v/>
      </c>
      <c r="H167">
        <f>IF(Datos!A167="","",IFERROR(MAX(0,N(Datos!I167)),0))</f>
        <v/>
      </c>
      <c r="J167">
        <f>IF(Datos!A167="","",IF(MAX(C$2:C$301)-MIN(C$2:C$301)&lt;0.000000001,0.5,(C167-MIN(C$2:C$301))/(MAX(C$2:C$301)-MIN(C$2:C$301)))+0.000000001)</f>
        <v/>
      </c>
      <c r="K167">
        <f>IF(Datos!A167="","",IF(MAX(D$2:D$301)-MIN(D$2:D$301)&lt;0.000000001,0.5,(D167-MIN(D$2:D$301))/(MAX(D$2:D$301)-MIN(D$2:D$301)))+0.000000001)</f>
        <v/>
      </c>
      <c r="L167">
        <f>IF(Datos!A167="","",IF(MAX(E$2:E$301)-MIN(E$2:E$301)&lt;0.000000001,0.5,(E167-MIN(E$2:E$301))/(MAX(E$2:E$301)-MIN(E$2:E$301)))+0.000000001)</f>
        <v/>
      </c>
      <c r="M167">
        <f>IF(Datos!A167="","",IF(MAX(F$2:F$301)-MIN(F$2:F$301)&lt;0.000000001,0.5,(F167-MIN(F$2:F$301))/(MAX(F$2:F$301)-MIN(F$2:F$301)))+0.000000001)</f>
        <v/>
      </c>
      <c r="N167">
        <f>IF(Datos!A167="","",IF(MAX(G$2:G$301)-MIN(G$2:G$301)&lt;0.000000001,0.5,(G167-MIN(G$2:G$301))/(MAX(G$2:G$301)-MIN(G$2:G$301)))+0.000000001)</f>
        <v/>
      </c>
      <c r="O167">
        <f>IF(Datos!A167="","",IF(MAX(H$2:H$301)-MIN(H$2:H$301)&lt;0.000000001,0.5,(H167-MIN(H$2:H$301))/(MAX(H$2:H$301)-MIN(H$2:H$301)))+0.000000001)</f>
        <v/>
      </c>
      <c r="Q167">
        <f>IF(Datos!A167="","",(J167/SUM(J$2:J$301))*LN(J167/SUM(J$2:J$301)))</f>
        <v/>
      </c>
      <c r="R167">
        <f>IF(Datos!A167="","",(K167/SUM(K$2:K$301))*LN(K167/SUM(K$2:K$301)))</f>
        <v/>
      </c>
      <c r="S167">
        <f>IF(Datos!A167="","",(L167/SUM(L$2:L$301))*LN(L167/SUM(L$2:L$301)))</f>
        <v/>
      </c>
      <c r="T167">
        <f>IF(Datos!A167="","",(M167/SUM(M$2:M$301))*LN(M167/SUM(M$2:M$301)))</f>
        <v/>
      </c>
      <c r="U167">
        <f>IF(Datos!A167="","",(N167/SUM(N$2:N$301))*LN(N167/SUM(N$2:N$301)))</f>
        <v/>
      </c>
      <c r="V167">
        <f>IF(Datos!A167="","",(O167/SUM(O$2:O$301))*LN(O167/SUM(O$2:O$301)))</f>
        <v/>
      </c>
      <c r="X167">
        <f>IF(Datos!A167="","",IF(SUMSQ(C$2:C$301)=0,0,C167/SQRT(SUMSQ(C$2:C$301)))*$BE$2)</f>
        <v/>
      </c>
      <c r="Y167">
        <f>IF(Datos!A167="","",IF(SUMSQ(D$2:D$301)=0,0,D167/SQRT(SUMSQ(D$2:D$301)))*$BE$3)</f>
        <v/>
      </c>
      <c r="Z167">
        <f>IF(Datos!A167="","",IF(SUMSQ(E$2:E$301)=0,0,E167/SQRT(SUMSQ(E$2:E$301)))*$BE$4)</f>
        <v/>
      </c>
      <c r="AA167">
        <f>IF(Datos!A167="","",IF(SUMSQ(F$2:F$301)=0,0,F167/SQRT(SUMSQ(F$2:F$301)))*$BE$5)</f>
        <v/>
      </c>
      <c r="AB167">
        <f>IF(Datos!A167="","",IF(SUMSQ(G$2:G$301)=0,0,G167/SQRT(SUMSQ(G$2:G$301)))*$BE$6)</f>
        <v/>
      </c>
      <c r="AC167">
        <f>IF(Datos!A167="","",IF(SUMSQ(H$2:H$301)=0,0,H167/SQRT(SUMSQ(H$2:H$301)))*$BE$7)</f>
        <v/>
      </c>
      <c r="AE167">
        <f>IF(Datos!A167="","",SQRT(SUMXMY2(X167:AC167,$X$303:$AC$303)))</f>
        <v/>
      </c>
      <c r="AF167">
        <f>IF(Datos!A167="","",SQRT(SUMXMY2(X167:AC167,$X$304:$AC$304)))</f>
        <v/>
      </c>
      <c r="AG167" s="11">
        <f>IF(Datos!A167="","",IF(AE167+AF167&lt;0.000000001,0.5,AF167/(AE167+AF167)))</f>
        <v/>
      </c>
      <c r="AH167">
        <f>IF(Datos!A167="","",AG167*MAX(C167*D167,1))</f>
        <v/>
      </c>
      <c r="AI167">
        <f>IF(Datos!A167="","",SUMIF($AH$2:$AH$301,"&gt;="&amp;AH167,$AH$2:$AH$301)/SUM($AH$2:$AH$301))</f>
        <v/>
      </c>
      <c r="AJ167" s="12">
        <f>IF(Datos!A167="","",IF(AI167&lt;=Parametros!$B$13,"A",IF(AI167&lt;=Parametros!$B$14,"B","C")))</f>
        <v/>
      </c>
      <c r="AK167" s="13">
        <f>IF(Datos!A167="","",VLOOKUP(AJ167,Parametros!$A$8:$C$10,2,FALSE))</f>
        <v/>
      </c>
      <c r="AL167">
        <f>IF(Datos!A167="","",VLOOKUP(AJ167,Parametros!$A$8:$C$10,3,FALSE))</f>
        <v/>
      </c>
      <c r="AM167">
        <f>IF(Datos!A167="","",NORMSINV(AK167))</f>
        <v/>
      </c>
      <c r="AN167">
        <f>IF(Datos!A167="","",D167/Parametros!$B$4)</f>
        <v/>
      </c>
      <c r="AO167">
        <f>IF(Datos!A167="","",MAX(0,ROUNDUP(AM167*(AN167*Parametros!$B$3)*SQRT((AL167+E167)),0)))</f>
        <v/>
      </c>
      <c r="AP167">
        <f>IF(Datos!A167="","",MAX(1,ROUNDUP(AN167*(AL167+E167)+AM167*(AN167*Parametros!$B$3)*SQRT((AL167+E167)),0)))</f>
        <v/>
      </c>
      <c r="AQ167">
        <f>IF(Datos!A167="","",IF(Datos!J167="","",Datos!J167))</f>
        <v/>
      </c>
      <c r="AR167">
        <f>IF(OR(Datos!A167="",AQ167=""),"",MAX(0,AQ167-AP167))</f>
        <v/>
      </c>
      <c r="AS167" s="10">
        <f>IF(OR(Datos!A167="",AQ167=""),"",AR167*C167)</f>
        <v/>
      </c>
      <c r="AT167" s="12">
        <f>IF(OR(Datos!A167="",AQ167=""),"",IF(AQ167&lt;AO167,"SI",""))</f>
        <v/>
      </c>
      <c r="AU167">
        <f>IF(Datos!A167="","",IF(AT167="SI","Reponer ahora",IF(AND(AQ167&lt;&gt;"",AR167&gt;0),"Bajar "&amp;TEXT(AR167,"#,##0")&amp;" un.","En rango")))</f>
        <v/>
      </c>
    </row>
    <row r="168">
      <c r="A168">
        <f>IF(Datos!A168="","",Datos!A168)</f>
        <v/>
      </c>
      <c r="B168">
        <f>IF(Datos!A168="","",Datos!B168)</f>
        <v/>
      </c>
      <c r="C168">
        <f>IF(Datos!A168="","",IFERROR(MAX(0,N(Datos!D168)),0))</f>
        <v/>
      </c>
      <c r="D168">
        <f>IF(Datos!A168="","",IFERROR(MAX(0,N(Datos!E168)),0))</f>
        <v/>
      </c>
      <c r="E168">
        <f>IF(Datos!A168="","",IFERROR(MAX(0,N(Datos!F168)),0))</f>
        <v/>
      </c>
      <c r="F168">
        <f>IF(Datos!A168="","",IFERROR(MAX(0,N(Datos!G168)),0))</f>
        <v/>
      </c>
      <c r="G168">
        <f>IF(Datos!A168="","",IFERROR(MAX(0,N(Datos!H168)),0))</f>
        <v/>
      </c>
      <c r="H168">
        <f>IF(Datos!A168="","",IFERROR(MAX(0,N(Datos!I168)),0))</f>
        <v/>
      </c>
      <c r="J168">
        <f>IF(Datos!A168="","",IF(MAX(C$2:C$301)-MIN(C$2:C$301)&lt;0.000000001,0.5,(C168-MIN(C$2:C$301))/(MAX(C$2:C$301)-MIN(C$2:C$301)))+0.000000001)</f>
        <v/>
      </c>
      <c r="K168">
        <f>IF(Datos!A168="","",IF(MAX(D$2:D$301)-MIN(D$2:D$301)&lt;0.000000001,0.5,(D168-MIN(D$2:D$301))/(MAX(D$2:D$301)-MIN(D$2:D$301)))+0.000000001)</f>
        <v/>
      </c>
      <c r="L168">
        <f>IF(Datos!A168="","",IF(MAX(E$2:E$301)-MIN(E$2:E$301)&lt;0.000000001,0.5,(E168-MIN(E$2:E$301))/(MAX(E$2:E$301)-MIN(E$2:E$301)))+0.000000001)</f>
        <v/>
      </c>
      <c r="M168">
        <f>IF(Datos!A168="","",IF(MAX(F$2:F$301)-MIN(F$2:F$301)&lt;0.000000001,0.5,(F168-MIN(F$2:F$301))/(MAX(F$2:F$301)-MIN(F$2:F$301)))+0.000000001)</f>
        <v/>
      </c>
      <c r="N168">
        <f>IF(Datos!A168="","",IF(MAX(G$2:G$301)-MIN(G$2:G$301)&lt;0.000000001,0.5,(G168-MIN(G$2:G$301))/(MAX(G$2:G$301)-MIN(G$2:G$301)))+0.000000001)</f>
        <v/>
      </c>
      <c r="O168">
        <f>IF(Datos!A168="","",IF(MAX(H$2:H$301)-MIN(H$2:H$301)&lt;0.000000001,0.5,(H168-MIN(H$2:H$301))/(MAX(H$2:H$301)-MIN(H$2:H$301)))+0.000000001)</f>
        <v/>
      </c>
      <c r="Q168">
        <f>IF(Datos!A168="","",(J168/SUM(J$2:J$301))*LN(J168/SUM(J$2:J$301)))</f>
        <v/>
      </c>
      <c r="R168">
        <f>IF(Datos!A168="","",(K168/SUM(K$2:K$301))*LN(K168/SUM(K$2:K$301)))</f>
        <v/>
      </c>
      <c r="S168">
        <f>IF(Datos!A168="","",(L168/SUM(L$2:L$301))*LN(L168/SUM(L$2:L$301)))</f>
        <v/>
      </c>
      <c r="T168">
        <f>IF(Datos!A168="","",(M168/SUM(M$2:M$301))*LN(M168/SUM(M$2:M$301)))</f>
        <v/>
      </c>
      <c r="U168">
        <f>IF(Datos!A168="","",(N168/SUM(N$2:N$301))*LN(N168/SUM(N$2:N$301)))</f>
        <v/>
      </c>
      <c r="V168">
        <f>IF(Datos!A168="","",(O168/SUM(O$2:O$301))*LN(O168/SUM(O$2:O$301)))</f>
        <v/>
      </c>
      <c r="X168">
        <f>IF(Datos!A168="","",IF(SUMSQ(C$2:C$301)=0,0,C168/SQRT(SUMSQ(C$2:C$301)))*$BE$2)</f>
        <v/>
      </c>
      <c r="Y168">
        <f>IF(Datos!A168="","",IF(SUMSQ(D$2:D$301)=0,0,D168/SQRT(SUMSQ(D$2:D$301)))*$BE$3)</f>
        <v/>
      </c>
      <c r="Z168">
        <f>IF(Datos!A168="","",IF(SUMSQ(E$2:E$301)=0,0,E168/SQRT(SUMSQ(E$2:E$301)))*$BE$4)</f>
        <v/>
      </c>
      <c r="AA168">
        <f>IF(Datos!A168="","",IF(SUMSQ(F$2:F$301)=0,0,F168/SQRT(SUMSQ(F$2:F$301)))*$BE$5)</f>
        <v/>
      </c>
      <c r="AB168">
        <f>IF(Datos!A168="","",IF(SUMSQ(G$2:G$301)=0,0,G168/SQRT(SUMSQ(G$2:G$301)))*$BE$6)</f>
        <v/>
      </c>
      <c r="AC168">
        <f>IF(Datos!A168="","",IF(SUMSQ(H$2:H$301)=0,0,H168/SQRT(SUMSQ(H$2:H$301)))*$BE$7)</f>
        <v/>
      </c>
      <c r="AE168">
        <f>IF(Datos!A168="","",SQRT(SUMXMY2(X168:AC168,$X$303:$AC$303)))</f>
        <v/>
      </c>
      <c r="AF168">
        <f>IF(Datos!A168="","",SQRT(SUMXMY2(X168:AC168,$X$304:$AC$304)))</f>
        <v/>
      </c>
      <c r="AG168" s="11">
        <f>IF(Datos!A168="","",IF(AE168+AF168&lt;0.000000001,0.5,AF168/(AE168+AF168)))</f>
        <v/>
      </c>
      <c r="AH168">
        <f>IF(Datos!A168="","",AG168*MAX(C168*D168,1))</f>
        <v/>
      </c>
      <c r="AI168">
        <f>IF(Datos!A168="","",SUMIF($AH$2:$AH$301,"&gt;="&amp;AH168,$AH$2:$AH$301)/SUM($AH$2:$AH$301))</f>
        <v/>
      </c>
      <c r="AJ168" s="12">
        <f>IF(Datos!A168="","",IF(AI168&lt;=Parametros!$B$13,"A",IF(AI168&lt;=Parametros!$B$14,"B","C")))</f>
        <v/>
      </c>
      <c r="AK168" s="13">
        <f>IF(Datos!A168="","",VLOOKUP(AJ168,Parametros!$A$8:$C$10,2,FALSE))</f>
        <v/>
      </c>
      <c r="AL168">
        <f>IF(Datos!A168="","",VLOOKUP(AJ168,Parametros!$A$8:$C$10,3,FALSE))</f>
        <v/>
      </c>
      <c r="AM168">
        <f>IF(Datos!A168="","",NORMSINV(AK168))</f>
        <v/>
      </c>
      <c r="AN168">
        <f>IF(Datos!A168="","",D168/Parametros!$B$4)</f>
        <v/>
      </c>
      <c r="AO168">
        <f>IF(Datos!A168="","",MAX(0,ROUNDUP(AM168*(AN168*Parametros!$B$3)*SQRT((AL168+E168)),0)))</f>
        <v/>
      </c>
      <c r="AP168">
        <f>IF(Datos!A168="","",MAX(1,ROUNDUP(AN168*(AL168+E168)+AM168*(AN168*Parametros!$B$3)*SQRT((AL168+E168)),0)))</f>
        <v/>
      </c>
      <c r="AQ168">
        <f>IF(Datos!A168="","",IF(Datos!J168="","",Datos!J168))</f>
        <v/>
      </c>
      <c r="AR168">
        <f>IF(OR(Datos!A168="",AQ168=""),"",MAX(0,AQ168-AP168))</f>
        <v/>
      </c>
      <c r="AS168" s="10">
        <f>IF(OR(Datos!A168="",AQ168=""),"",AR168*C168)</f>
        <v/>
      </c>
      <c r="AT168" s="12">
        <f>IF(OR(Datos!A168="",AQ168=""),"",IF(AQ168&lt;AO168,"SI",""))</f>
        <v/>
      </c>
      <c r="AU168">
        <f>IF(Datos!A168="","",IF(AT168="SI","Reponer ahora",IF(AND(AQ168&lt;&gt;"",AR168&gt;0),"Bajar "&amp;TEXT(AR168,"#,##0")&amp;" un.","En rango")))</f>
        <v/>
      </c>
    </row>
    <row r="169">
      <c r="A169">
        <f>IF(Datos!A169="","",Datos!A169)</f>
        <v/>
      </c>
      <c r="B169">
        <f>IF(Datos!A169="","",Datos!B169)</f>
        <v/>
      </c>
      <c r="C169">
        <f>IF(Datos!A169="","",IFERROR(MAX(0,N(Datos!D169)),0))</f>
        <v/>
      </c>
      <c r="D169">
        <f>IF(Datos!A169="","",IFERROR(MAX(0,N(Datos!E169)),0))</f>
        <v/>
      </c>
      <c r="E169">
        <f>IF(Datos!A169="","",IFERROR(MAX(0,N(Datos!F169)),0))</f>
        <v/>
      </c>
      <c r="F169">
        <f>IF(Datos!A169="","",IFERROR(MAX(0,N(Datos!G169)),0))</f>
        <v/>
      </c>
      <c r="G169">
        <f>IF(Datos!A169="","",IFERROR(MAX(0,N(Datos!H169)),0))</f>
        <v/>
      </c>
      <c r="H169">
        <f>IF(Datos!A169="","",IFERROR(MAX(0,N(Datos!I169)),0))</f>
        <v/>
      </c>
      <c r="J169">
        <f>IF(Datos!A169="","",IF(MAX(C$2:C$301)-MIN(C$2:C$301)&lt;0.000000001,0.5,(C169-MIN(C$2:C$301))/(MAX(C$2:C$301)-MIN(C$2:C$301)))+0.000000001)</f>
        <v/>
      </c>
      <c r="K169">
        <f>IF(Datos!A169="","",IF(MAX(D$2:D$301)-MIN(D$2:D$301)&lt;0.000000001,0.5,(D169-MIN(D$2:D$301))/(MAX(D$2:D$301)-MIN(D$2:D$301)))+0.000000001)</f>
        <v/>
      </c>
      <c r="L169">
        <f>IF(Datos!A169="","",IF(MAX(E$2:E$301)-MIN(E$2:E$301)&lt;0.000000001,0.5,(E169-MIN(E$2:E$301))/(MAX(E$2:E$301)-MIN(E$2:E$301)))+0.000000001)</f>
        <v/>
      </c>
      <c r="M169">
        <f>IF(Datos!A169="","",IF(MAX(F$2:F$301)-MIN(F$2:F$301)&lt;0.000000001,0.5,(F169-MIN(F$2:F$301))/(MAX(F$2:F$301)-MIN(F$2:F$301)))+0.000000001)</f>
        <v/>
      </c>
      <c r="N169">
        <f>IF(Datos!A169="","",IF(MAX(G$2:G$301)-MIN(G$2:G$301)&lt;0.000000001,0.5,(G169-MIN(G$2:G$301))/(MAX(G$2:G$301)-MIN(G$2:G$301)))+0.000000001)</f>
        <v/>
      </c>
      <c r="O169">
        <f>IF(Datos!A169="","",IF(MAX(H$2:H$301)-MIN(H$2:H$301)&lt;0.000000001,0.5,(H169-MIN(H$2:H$301))/(MAX(H$2:H$301)-MIN(H$2:H$301)))+0.000000001)</f>
        <v/>
      </c>
      <c r="Q169">
        <f>IF(Datos!A169="","",(J169/SUM(J$2:J$301))*LN(J169/SUM(J$2:J$301)))</f>
        <v/>
      </c>
      <c r="R169">
        <f>IF(Datos!A169="","",(K169/SUM(K$2:K$301))*LN(K169/SUM(K$2:K$301)))</f>
        <v/>
      </c>
      <c r="S169">
        <f>IF(Datos!A169="","",(L169/SUM(L$2:L$301))*LN(L169/SUM(L$2:L$301)))</f>
        <v/>
      </c>
      <c r="T169">
        <f>IF(Datos!A169="","",(M169/SUM(M$2:M$301))*LN(M169/SUM(M$2:M$301)))</f>
        <v/>
      </c>
      <c r="U169">
        <f>IF(Datos!A169="","",(N169/SUM(N$2:N$301))*LN(N169/SUM(N$2:N$301)))</f>
        <v/>
      </c>
      <c r="V169">
        <f>IF(Datos!A169="","",(O169/SUM(O$2:O$301))*LN(O169/SUM(O$2:O$301)))</f>
        <v/>
      </c>
      <c r="X169">
        <f>IF(Datos!A169="","",IF(SUMSQ(C$2:C$301)=0,0,C169/SQRT(SUMSQ(C$2:C$301)))*$BE$2)</f>
        <v/>
      </c>
      <c r="Y169">
        <f>IF(Datos!A169="","",IF(SUMSQ(D$2:D$301)=0,0,D169/SQRT(SUMSQ(D$2:D$301)))*$BE$3)</f>
        <v/>
      </c>
      <c r="Z169">
        <f>IF(Datos!A169="","",IF(SUMSQ(E$2:E$301)=0,0,E169/SQRT(SUMSQ(E$2:E$301)))*$BE$4)</f>
        <v/>
      </c>
      <c r="AA169">
        <f>IF(Datos!A169="","",IF(SUMSQ(F$2:F$301)=0,0,F169/SQRT(SUMSQ(F$2:F$301)))*$BE$5)</f>
        <v/>
      </c>
      <c r="AB169">
        <f>IF(Datos!A169="","",IF(SUMSQ(G$2:G$301)=0,0,G169/SQRT(SUMSQ(G$2:G$301)))*$BE$6)</f>
        <v/>
      </c>
      <c r="AC169">
        <f>IF(Datos!A169="","",IF(SUMSQ(H$2:H$301)=0,0,H169/SQRT(SUMSQ(H$2:H$301)))*$BE$7)</f>
        <v/>
      </c>
      <c r="AE169">
        <f>IF(Datos!A169="","",SQRT(SUMXMY2(X169:AC169,$X$303:$AC$303)))</f>
        <v/>
      </c>
      <c r="AF169">
        <f>IF(Datos!A169="","",SQRT(SUMXMY2(X169:AC169,$X$304:$AC$304)))</f>
        <v/>
      </c>
      <c r="AG169" s="11">
        <f>IF(Datos!A169="","",IF(AE169+AF169&lt;0.000000001,0.5,AF169/(AE169+AF169)))</f>
        <v/>
      </c>
      <c r="AH169">
        <f>IF(Datos!A169="","",AG169*MAX(C169*D169,1))</f>
        <v/>
      </c>
      <c r="AI169">
        <f>IF(Datos!A169="","",SUMIF($AH$2:$AH$301,"&gt;="&amp;AH169,$AH$2:$AH$301)/SUM($AH$2:$AH$301))</f>
        <v/>
      </c>
      <c r="AJ169" s="12">
        <f>IF(Datos!A169="","",IF(AI169&lt;=Parametros!$B$13,"A",IF(AI169&lt;=Parametros!$B$14,"B","C")))</f>
        <v/>
      </c>
      <c r="AK169" s="13">
        <f>IF(Datos!A169="","",VLOOKUP(AJ169,Parametros!$A$8:$C$10,2,FALSE))</f>
        <v/>
      </c>
      <c r="AL169">
        <f>IF(Datos!A169="","",VLOOKUP(AJ169,Parametros!$A$8:$C$10,3,FALSE))</f>
        <v/>
      </c>
      <c r="AM169">
        <f>IF(Datos!A169="","",NORMSINV(AK169))</f>
        <v/>
      </c>
      <c r="AN169">
        <f>IF(Datos!A169="","",D169/Parametros!$B$4)</f>
        <v/>
      </c>
      <c r="AO169">
        <f>IF(Datos!A169="","",MAX(0,ROUNDUP(AM169*(AN169*Parametros!$B$3)*SQRT((AL169+E169)),0)))</f>
        <v/>
      </c>
      <c r="AP169">
        <f>IF(Datos!A169="","",MAX(1,ROUNDUP(AN169*(AL169+E169)+AM169*(AN169*Parametros!$B$3)*SQRT((AL169+E169)),0)))</f>
        <v/>
      </c>
      <c r="AQ169">
        <f>IF(Datos!A169="","",IF(Datos!J169="","",Datos!J169))</f>
        <v/>
      </c>
      <c r="AR169">
        <f>IF(OR(Datos!A169="",AQ169=""),"",MAX(0,AQ169-AP169))</f>
        <v/>
      </c>
      <c r="AS169" s="10">
        <f>IF(OR(Datos!A169="",AQ169=""),"",AR169*C169)</f>
        <v/>
      </c>
      <c r="AT169" s="12">
        <f>IF(OR(Datos!A169="",AQ169=""),"",IF(AQ169&lt;AO169,"SI",""))</f>
        <v/>
      </c>
      <c r="AU169">
        <f>IF(Datos!A169="","",IF(AT169="SI","Reponer ahora",IF(AND(AQ169&lt;&gt;"",AR169&gt;0),"Bajar "&amp;TEXT(AR169,"#,##0")&amp;" un.","En rango")))</f>
        <v/>
      </c>
    </row>
    <row r="170">
      <c r="A170">
        <f>IF(Datos!A170="","",Datos!A170)</f>
        <v/>
      </c>
      <c r="B170">
        <f>IF(Datos!A170="","",Datos!B170)</f>
        <v/>
      </c>
      <c r="C170">
        <f>IF(Datos!A170="","",IFERROR(MAX(0,N(Datos!D170)),0))</f>
        <v/>
      </c>
      <c r="D170">
        <f>IF(Datos!A170="","",IFERROR(MAX(0,N(Datos!E170)),0))</f>
        <v/>
      </c>
      <c r="E170">
        <f>IF(Datos!A170="","",IFERROR(MAX(0,N(Datos!F170)),0))</f>
        <v/>
      </c>
      <c r="F170">
        <f>IF(Datos!A170="","",IFERROR(MAX(0,N(Datos!G170)),0))</f>
        <v/>
      </c>
      <c r="G170">
        <f>IF(Datos!A170="","",IFERROR(MAX(0,N(Datos!H170)),0))</f>
        <v/>
      </c>
      <c r="H170">
        <f>IF(Datos!A170="","",IFERROR(MAX(0,N(Datos!I170)),0))</f>
        <v/>
      </c>
      <c r="J170">
        <f>IF(Datos!A170="","",IF(MAX(C$2:C$301)-MIN(C$2:C$301)&lt;0.000000001,0.5,(C170-MIN(C$2:C$301))/(MAX(C$2:C$301)-MIN(C$2:C$301)))+0.000000001)</f>
        <v/>
      </c>
      <c r="K170">
        <f>IF(Datos!A170="","",IF(MAX(D$2:D$301)-MIN(D$2:D$301)&lt;0.000000001,0.5,(D170-MIN(D$2:D$301))/(MAX(D$2:D$301)-MIN(D$2:D$301)))+0.000000001)</f>
        <v/>
      </c>
      <c r="L170">
        <f>IF(Datos!A170="","",IF(MAX(E$2:E$301)-MIN(E$2:E$301)&lt;0.000000001,0.5,(E170-MIN(E$2:E$301))/(MAX(E$2:E$301)-MIN(E$2:E$301)))+0.000000001)</f>
        <v/>
      </c>
      <c r="M170">
        <f>IF(Datos!A170="","",IF(MAX(F$2:F$301)-MIN(F$2:F$301)&lt;0.000000001,0.5,(F170-MIN(F$2:F$301))/(MAX(F$2:F$301)-MIN(F$2:F$301)))+0.000000001)</f>
        <v/>
      </c>
      <c r="N170">
        <f>IF(Datos!A170="","",IF(MAX(G$2:G$301)-MIN(G$2:G$301)&lt;0.000000001,0.5,(G170-MIN(G$2:G$301))/(MAX(G$2:G$301)-MIN(G$2:G$301)))+0.000000001)</f>
        <v/>
      </c>
      <c r="O170">
        <f>IF(Datos!A170="","",IF(MAX(H$2:H$301)-MIN(H$2:H$301)&lt;0.000000001,0.5,(H170-MIN(H$2:H$301))/(MAX(H$2:H$301)-MIN(H$2:H$301)))+0.000000001)</f>
        <v/>
      </c>
      <c r="Q170">
        <f>IF(Datos!A170="","",(J170/SUM(J$2:J$301))*LN(J170/SUM(J$2:J$301)))</f>
        <v/>
      </c>
      <c r="R170">
        <f>IF(Datos!A170="","",(K170/SUM(K$2:K$301))*LN(K170/SUM(K$2:K$301)))</f>
        <v/>
      </c>
      <c r="S170">
        <f>IF(Datos!A170="","",(L170/SUM(L$2:L$301))*LN(L170/SUM(L$2:L$301)))</f>
        <v/>
      </c>
      <c r="T170">
        <f>IF(Datos!A170="","",(M170/SUM(M$2:M$301))*LN(M170/SUM(M$2:M$301)))</f>
        <v/>
      </c>
      <c r="U170">
        <f>IF(Datos!A170="","",(N170/SUM(N$2:N$301))*LN(N170/SUM(N$2:N$301)))</f>
        <v/>
      </c>
      <c r="V170">
        <f>IF(Datos!A170="","",(O170/SUM(O$2:O$301))*LN(O170/SUM(O$2:O$301)))</f>
        <v/>
      </c>
      <c r="X170">
        <f>IF(Datos!A170="","",IF(SUMSQ(C$2:C$301)=0,0,C170/SQRT(SUMSQ(C$2:C$301)))*$BE$2)</f>
        <v/>
      </c>
      <c r="Y170">
        <f>IF(Datos!A170="","",IF(SUMSQ(D$2:D$301)=0,0,D170/SQRT(SUMSQ(D$2:D$301)))*$BE$3)</f>
        <v/>
      </c>
      <c r="Z170">
        <f>IF(Datos!A170="","",IF(SUMSQ(E$2:E$301)=0,0,E170/SQRT(SUMSQ(E$2:E$301)))*$BE$4)</f>
        <v/>
      </c>
      <c r="AA170">
        <f>IF(Datos!A170="","",IF(SUMSQ(F$2:F$301)=0,0,F170/SQRT(SUMSQ(F$2:F$301)))*$BE$5)</f>
        <v/>
      </c>
      <c r="AB170">
        <f>IF(Datos!A170="","",IF(SUMSQ(G$2:G$301)=0,0,G170/SQRT(SUMSQ(G$2:G$301)))*$BE$6)</f>
        <v/>
      </c>
      <c r="AC170">
        <f>IF(Datos!A170="","",IF(SUMSQ(H$2:H$301)=0,0,H170/SQRT(SUMSQ(H$2:H$301)))*$BE$7)</f>
        <v/>
      </c>
      <c r="AE170">
        <f>IF(Datos!A170="","",SQRT(SUMXMY2(X170:AC170,$X$303:$AC$303)))</f>
        <v/>
      </c>
      <c r="AF170">
        <f>IF(Datos!A170="","",SQRT(SUMXMY2(X170:AC170,$X$304:$AC$304)))</f>
        <v/>
      </c>
      <c r="AG170" s="11">
        <f>IF(Datos!A170="","",IF(AE170+AF170&lt;0.000000001,0.5,AF170/(AE170+AF170)))</f>
        <v/>
      </c>
      <c r="AH170">
        <f>IF(Datos!A170="","",AG170*MAX(C170*D170,1))</f>
        <v/>
      </c>
      <c r="AI170">
        <f>IF(Datos!A170="","",SUMIF($AH$2:$AH$301,"&gt;="&amp;AH170,$AH$2:$AH$301)/SUM($AH$2:$AH$301))</f>
        <v/>
      </c>
      <c r="AJ170" s="12">
        <f>IF(Datos!A170="","",IF(AI170&lt;=Parametros!$B$13,"A",IF(AI170&lt;=Parametros!$B$14,"B","C")))</f>
        <v/>
      </c>
      <c r="AK170" s="13">
        <f>IF(Datos!A170="","",VLOOKUP(AJ170,Parametros!$A$8:$C$10,2,FALSE))</f>
        <v/>
      </c>
      <c r="AL170">
        <f>IF(Datos!A170="","",VLOOKUP(AJ170,Parametros!$A$8:$C$10,3,FALSE))</f>
        <v/>
      </c>
      <c r="AM170">
        <f>IF(Datos!A170="","",NORMSINV(AK170))</f>
        <v/>
      </c>
      <c r="AN170">
        <f>IF(Datos!A170="","",D170/Parametros!$B$4)</f>
        <v/>
      </c>
      <c r="AO170">
        <f>IF(Datos!A170="","",MAX(0,ROUNDUP(AM170*(AN170*Parametros!$B$3)*SQRT((AL170+E170)),0)))</f>
        <v/>
      </c>
      <c r="AP170">
        <f>IF(Datos!A170="","",MAX(1,ROUNDUP(AN170*(AL170+E170)+AM170*(AN170*Parametros!$B$3)*SQRT((AL170+E170)),0)))</f>
        <v/>
      </c>
      <c r="AQ170">
        <f>IF(Datos!A170="","",IF(Datos!J170="","",Datos!J170))</f>
        <v/>
      </c>
      <c r="AR170">
        <f>IF(OR(Datos!A170="",AQ170=""),"",MAX(0,AQ170-AP170))</f>
        <v/>
      </c>
      <c r="AS170" s="10">
        <f>IF(OR(Datos!A170="",AQ170=""),"",AR170*C170)</f>
        <v/>
      </c>
      <c r="AT170" s="12">
        <f>IF(OR(Datos!A170="",AQ170=""),"",IF(AQ170&lt;AO170,"SI",""))</f>
        <v/>
      </c>
      <c r="AU170">
        <f>IF(Datos!A170="","",IF(AT170="SI","Reponer ahora",IF(AND(AQ170&lt;&gt;"",AR170&gt;0),"Bajar "&amp;TEXT(AR170,"#,##0")&amp;" un.","En rango")))</f>
        <v/>
      </c>
    </row>
    <row r="171">
      <c r="A171">
        <f>IF(Datos!A171="","",Datos!A171)</f>
        <v/>
      </c>
      <c r="B171">
        <f>IF(Datos!A171="","",Datos!B171)</f>
        <v/>
      </c>
      <c r="C171">
        <f>IF(Datos!A171="","",IFERROR(MAX(0,N(Datos!D171)),0))</f>
        <v/>
      </c>
      <c r="D171">
        <f>IF(Datos!A171="","",IFERROR(MAX(0,N(Datos!E171)),0))</f>
        <v/>
      </c>
      <c r="E171">
        <f>IF(Datos!A171="","",IFERROR(MAX(0,N(Datos!F171)),0))</f>
        <v/>
      </c>
      <c r="F171">
        <f>IF(Datos!A171="","",IFERROR(MAX(0,N(Datos!G171)),0))</f>
        <v/>
      </c>
      <c r="G171">
        <f>IF(Datos!A171="","",IFERROR(MAX(0,N(Datos!H171)),0))</f>
        <v/>
      </c>
      <c r="H171">
        <f>IF(Datos!A171="","",IFERROR(MAX(0,N(Datos!I171)),0))</f>
        <v/>
      </c>
      <c r="J171">
        <f>IF(Datos!A171="","",IF(MAX(C$2:C$301)-MIN(C$2:C$301)&lt;0.000000001,0.5,(C171-MIN(C$2:C$301))/(MAX(C$2:C$301)-MIN(C$2:C$301)))+0.000000001)</f>
        <v/>
      </c>
      <c r="K171">
        <f>IF(Datos!A171="","",IF(MAX(D$2:D$301)-MIN(D$2:D$301)&lt;0.000000001,0.5,(D171-MIN(D$2:D$301))/(MAX(D$2:D$301)-MIN(D$2:D$301)))+0.000000001)</f>
        <v/>
      </c>
      <c r="L171">
        <f>IF(Datos!A171="","",IF(MAX(E$2:E$301)-MIN(E$2:E$301)&lt;0.000000001,0.5,(E171-MIN(E$2:E$301))/(MAX(E$2:E$301)-MIN(E$2:E$301)))+0.000000001)</f>
        <v/>
      </c>
      <c r="M171">
        <f>IF(Datos!A171="","",IF(MAX(F$2:F$301)-MIN(F$2:F$301)&lt;0.000000001,0.5,(F171-MIN(F$2:F$301))/(MAX(F$2:F$301)-MIN(F$2:F$301)))+0.000000001)</f>
        <v/>
      </c>
      <c r="N171">
        <f>IF(Datos!A171="","",IF(MAX(G$2:G$301)-MIN(G$2:G$301)&lt;0.000000001,0.5,(G171-MIN(G$2:G$301))/(MAX(G$2:G$301)-MIN(G$2:G$301)))+0.000000001)</f>
        <v/>
      </c>
      <c r="O171">
        <f>IF(Datos!A171="","",IF(MAX(H$2:H$301)-MIN(H$2:H$301)&lt;0.000000001,0.5,(H171-MIN(H$2:H$301))/(MAX(H$2:H$301)-MIN(H$2:H$301)))+0.000000001)</f>
        <v/>
      </c>
      <c r="Q171">
        <f>IF(Datos!A171="","",(J171/SUM(J$2:J$301))*LN(J171/SUM(J$2:J$301)))</f>
        <v/>
      </c>
      <c r="R171">
        <f>IF(Datos!A171="","",(K171/SUM(K$2:K$301))*LN(K171/SUM(K$2:K$301)))</f>
        <v/>
      </c>
      <c r="S171">
        <f>IF(Datos!A171="","",(L171/SUM(L$2:L$301))*LN(L171/SUM(L$2:L$301)))</f>
        <v/>
      </c>
      <c r="T171">
        <f>IF(Datos!A171="","",(M171/SUM(M$2:M$301))*LN(M171/SUM(M$2:M$301)))</f>
        <v/>
      </c>
      <c r="U171">
        <f>IF(Datos!A171="","",(N171/SUM(N$2:N$301))*LN(N171/SUM(N$2:N$301)))</f>
        <v/>
      </c>
      <c r="V171">
        <f>IF(Datos!A171="","",(O171/SUM(O$2:O$301))*LN(O171/SUM(O$2:O$301)))</f>
        <v/>
      </c>
      <c r="X171">
        <f>IF(Datos!A171="","",IF(SUMSQ(C$2:C$301)=0,0,C171/SQRT(SUMSQ(C$2:C$301)))*$BE$2)</f>
        <v/>
      </c>
      <c r="Y171">
        <f>IF(Datos!A171="","",IF(SUMSQ(D$2:D$301)=0,0,D171/SQRT(SUMSQ(D$2:D$301)))*$BE$3)</f>
        <v/>
      </c>
      <c r="Z171">
        <f>IF(Datos!A171="","",IF(SUMSQ(E$2:E$301)=0,0,E171/SQRT(SUMSQ(E$2:E$301)))*$BE$4)</f>
        <v/>
      </c>
      <c r="AA171">
        <f>IF(Datos!A171="","",IF(SUMSQ(F$2:F$301)=0,0,F171/SQRT(SUMSQ(F$2:F$301)))*$BE$5)</f>
        <v/>
      </c>
      <c r="AB171">
        <f>IF(Datos!A171="","",IF(SUMSQ(G$2:G$301)=0,0,G171/SQRT(SUMSQ(G$2:G$301)))*$BE$6)</f>
        <v/>
      </c>
      <c r="AC171">
        <f>IF(Datos!A171="","",IF(SUMSQ(H$2:H$301)=0,0,H171/SQRT(SUMSQ(H$2:H$301)))*$BE$7)</f>
        <v/>
      </c>
      <c r="AE171">
        <f>IF(Datos!A171="","",SQRT(SUMXMY2(X171:AC171,$X$303:$AC$303)))</f>
        <v/>
      </c>
      <c r="AF171">
        <f>IF(Datos!A171="","",SQRT(SUMXMY2(X171:AC171,$X$304:$AC$304)))</f>
        <v/>
      </c>
      <c r="AG171" s="11">
        <f>IF(Datos!A171="","",IF(AE171+AF171&lt;0.000000001,0.5,AF171/(AE171+AF171)))</f>
        <v/>
      </c>
      <c r="AH171">
        <f>IF(Datos!A171="","",AG171*MAX(C171*D171,1))</f>
        <v/>
      </c>
      <c r="AI171">
        <f>IF(Datos!A171="","",SUMIF($AH$2:$AH$301,"&gt;="&amp;AH171,$AH$2:$AH$301)/SUM($AH$2:$AH$301))</f>
        <v/>
      </c>
      <c r="AJ171" s="12">
        <f>IF(Datos!A171="","",IF(AI171&lt;=Parametros!$B$13,"A",IF(AI171&lt;=Parametros!$B$14,"B","C")))</f>
        <v/>
      </c>
      <c r="AK171" s="13">
        <f>IF(Datos!A171="","",VLOOKUP(AJ171,Parametros!$A$8:$C$10,2,FALSE))</f>
        <v/>
      </c>
      <c r="AL171">
        <f>IF(Datos!A171="","",VLOOKUP(AJ171,Parametros!$A$8:$C$10,3,FALSE))</f>
        <v/>
      </c>
      <c r="AM171">
        <f>IF(Datos!A171="","",NORMSINV(AK171))</f>
        <v/>
      </c>
      <c r="AN171">
        <f>IF(Datos!A171="","",D171/Parametros!$B$4)</f>
        <v/>
      </c>
      <c r="AO171">
        <f>IF(Datos!A171="","",MAX(0,ROUNDUP(AM171*(AN171*Parametros!$B$3)*SQRT((AL171+E171)),0)))</f>
        <v/>
      </c>
      <c r="AP171">
        <f>IF(Datos!A171="","",MAX(1,ROUNDUP(AN171*(AL171+E171)+AM171*(AN171*Parametros!$B$3)*SQRT((AL171+E171)),0)))</f>
        <v/>
      </c>
      <c r="AQ171">
        <f>IF(Datos!A171="","",IF(Datos!J171="","",Datos!J171))</f>
        <v/>
      </c>
      <c r="AR171">
        <f>IF(OR(Datos!A171="",AQ171=""),"",MAX(0,AQ171-AP171))</f>
        <v/>
      </c>
      <c r="AS171" s="10">
        <f>IF(OR(Datos!A171="",AQ171=""),"",AR171*C171)</f>
        <v/>
      </c>
      <c r="AT171" s="12">
        <f>IF(OR(Datos!A171="",AQ171=""),"",IF(AQ171&lt;AO171,"SI",""))</f>
        <v/>
      </c>
      <c r="AU171">
        <f>IF(Datos!A171="","",IF(AT171="SI","Reponer ahora",IF(AND(AQ171&lt;&gt;"",AR171&gt;0),"Bajar "&amp;TEXT(AR171,"#,##0")&amp;" un.","En rango")))</f>
        <v/>
      </c>
    </row>
    <row r="172">
      <c r="A172">
        <f>IF(Datos!A172="","",Datos!A172)</f>
        <v/>
      </c>
      <c r="B172">
        <f>IF(Datos!A172="","",Datos!B172)</f>
        <v/>
      </c>
      <c r="C172">
        <f>IF(Datos!A172="","",IFERROR(MAX(0,N(Datos!D172)),0))</f>
        <v/>
      </c>
      <c r="D172">
        <f>IF(Datos!A172="","",IFERROR(MAX(0,N(Datos!E172)),0))</f>
        <v/>
      </c>
      <c r="E172">
        <f>IF(Datos!A172="","",IFERROR(MAX(0,N(Datos!F172)),0))</f>
        <v/>
      </c>
      <c r="F172">
        <f>IF(Datos!A172="","",IFERROR(MAX(0,N(Datos!G172)),0))</f>
        <v/>
      </c>
      <c r="G172">
        <f>IF(Datos!A172="","",IFERROR(MAX(0,N(Datos!H172)),0))</f>
        <v/>
      </c>
      <c r="H172">
        <f>IF(Datos!A172="","",IFERROR(MAX(0,N(Datos!I172)),0))</f>
        <v/>
      </c>
      <c r="J172">
        <f>IF(Datos!A172="","",IF(MAX(C$2:C$301)-MIN(C$2:C$301)&lt;0.000000001,0.5,(C172-MIN(C$2:C$301))/(MAX(C$2:C$301)-MIN(C$2:C$301)))+0.000000001)</f>
        <v/>
      </c>
      <c r="K172">
        <f>IF(Datos!A172="","",IF(MAX(D$2:D$301)-MIN(D$2:D$301)&lt;0.000000001,0.5,(D172-MIN(D$2:D$301))/(MAX(D$2:D$301)-MIN(D$2:D$301)))+0.000000001)</f>
        <v/>
      </c>
      <c r="L172">
        <f>IF(Datos!A172="","",IF(MAX(E$2:E$301)-MIN(E$2:E$301)&lt;0.000000001,0.5,(E172-MIN(E$2:E$301))/(MAX(E$2:E$301)-MIN(E$2:E$301)))+0.000000001)</f>
        <v/>
      </c>
      <c r="M172">
        <f>IF(Datos!A172="","",IF(MAX(F$2:F$301)-MIN(F$2:F$301)&lt;0.000000001,0.5,(F172-MIN(F$2:F$301))/(MAX(F$2:F$301)-MIN(F$2:F$301)))+0.000000001)</f>
        <v/>
      </c>
      <c r="N172">
        <f>IF(Datos!A172="","",IF(MAX(G$2:G$301)-MIN(G$2:G$301)&lt;0.000000001,0.5,(G172-MIN(G$2:G$301))/(MAX(G$2:G$301)-MIN(G$2:G$301)))+0.000000001)</f>
        <v/>
      </c>
      <c r="O172">
        <f>IF(Datos!A172="","",IF(MAX(H$2:H$301)-MIN(H$2:H$301)&lt;0.000000001,0.5,(H172-MIN(H$2:H$301))/(MAX(H$2:H$301)-MIN(H$2:H$301)))+0.000000001)</f>
        <v/>
      </c>
      <c r="Q172">
        <f>IF(Datos!A172="","",(J172/SUM(J$2:J$301))*LN(J172/SUM(J$2:J$301)))</f>
        <v/>
      </c>
      <c r="R172">
        <f>IF(Datos!A172="","",(K172/SUM(K$2:K$301))*LN(K172/SUM(K$2:K$301)))</f>
        <v/>
      </c>
      <c r="S172">
        <f>IF(Datos!A172="","",(L172/SUM(L$2:L$301))*LN(L172/SUM(L$2:L$301)))</f>
        <v/>
      </c>
      <c r="T172">
        <f>IF(Datos!A172="","",(M172/SUM(M$2:M$301))*LN(M172/SUM(M$2:M$301)))</f>
        <v/>
      </c>
      <c r="U172">
        <f>IF(Datos!A172="","",(N172/SUM(N$2:N$301))*LN(N172/SUM(N$2:N$301)))</f>
        <v/>
      </c>
      <c r="V172">
        <f>IF(Datos!A172="","",(O172/SUM(O$2:O$301))*LN(O172/SUM(O$2:O$301)))</f>
        <v/>
      </c>
      <c r="X172">
        <f>IF(Datos!A172="","",IF(SUMSQ(C$2:C$301)=0,0,C172/SQRT(SUMSQ(C$2:C$301)))*$BE$2)</f>
        <v/>
      </c>
      <c r="Y172">
        <f>IF(Datos!A172="","",IF(SUMSQ(D$2:D$301)=0,0,D172/SQRT(SUMSQ(D$2:D$301)))*$BE$3)</f>
        <v/>
      </c>
      <c r="Z172">
        <f>IF(Datos!A172="","",IF(SUMSQ(E$2:E$301)=0,0,E172/SQRT(SUMSQ(E$2:E$301)))*$BE$4)</f>
        <v/>
      </c>
      <c r="AA172">
        <f>IF(Datos!A172="","",IF(SUMSQ(F$2:F$301)=0,0,F172/SQRT(SUMSQ(F$2:F$301)))*$BE$5)</f>
        <v/>
      </c>
      <c r="AB172">
        <f>IF(Datos!A172="","",IF(SUMSQ(G$2:G$301)=0,0,G172/SQRT(SUMSQ(G$2:G$301)))*$BE$6)</f>
        <v/>
      </c>
      <c r="AC172">
        <f>IF(Datos!A172="","",IF(SUMSQ(H$2:H$301)=0,0,H172/SQRT(SUMSQ(H$2:H$301)))*$BE$7)</f>
        <v/>
      </c>
      <c r="AE172">
        <f>IF(Datos!A172="","",SQRT(SUMXMY2(X172:AC172,$X$303:$AC$303)))</f>
        <v/>
      </c>
      <c r="AF172">
        <f>IF(Datos!A172="","",SQRT(SUMXMY2(X172:AC172,$X$304:$AC$304)))</f>
        <v/>
      </c>
      <c r="AG172" s="11">
        <f>IF(Datos!A172="","",IF(AE172+AF172&lt;0.000000001,0.5,AF172/(AE172+AF172)))</f>
        <v/>
      </c>
      <c r="AH172">
        <f>IF(Datos!A172="","",AG172*MAX(C172*D172,1))</f>
        <v/>
      </c>
      <c r="AI172">
        <f>IF(Datos!A172="","",SUMIF($AH$2:$AH$301,"&gt;="&amp;AH172,$AH$2:$AH$301)/SUM($AH$2:$AH$301))</f>
        <v/>
      </c>
      <c r="AJ172" s="12">
        <f>IF(Datos!A172="","",IF(AI172&lt;=Parametros!$B$13,"A",IF(AI172&lt;=Parametros!$B$14,"B","C")))</f>
        <v/>
      </c>
      <c r="AK172" s="13">
        <f>IF(Datos!A172="","",VLOOKUP(AJ172,Parametros!$A$8:$C$10,2,FALSE))</f>
        <v/>
      </c>
      <c r="AL172">
        <f>IF(Datos!A172="","",VLOOKUP(AJ172,Parametros!$A$8:$C$10,3,FALSE))</f>
        <v/>
      </c>
      <c r="AM172">
        <f>IF(Datos!A172="","",NORMSINV(AK172))</f>
        <v/>
      </c>
      <c r="AN172">
        <f>IF(Datos!A172="","",D172/Parametros!$B$4)</f>
        <v/>
      </c>
      <c r="AO172">
        <f>IF(Datos!A172="","",MAX(0,ROUNDUP(AM172*(AN172*Parametros!$B$3)*SQRT((AL172+E172)),0)))</f>
        <v/>
      </c>
      <c r="AP172">
        <f>IF(Datos!A172="","",MAX(1,ROUNDUP(AN172*(AL172+E172)+AM172*(AN172*Parametros!$B$3)*SQRT((AL172+E172)),0)))</f>
        <v/>
      </c>
      <c r="AQ172">
        <f>IF(Datos!A172="","",IF(Datos!J172="","",Datos!J172))</f>
        <v/>
      </c>
      <c r="AR172">
        <f>IF(OR(Datos!A172="",AQ172=""),"",MAX(0,AQ172-AP172))</f>
        <v/>
      </c>
      <c r="AS172" s="10">
        <f>IF(OR(Datos!A172="",AQ172=""),"",AR172*C172)</f>
        <v/>
      </c>
      <c r="AT172" s="12">
        <f>IF(OR(Datos!A172="",AQ172=""),"",IF(AQ172&lt;AO172,"SI",""))</f>
        <v/>
      </c>
      <c r="AU172">
        <f>IF(Datos!A172="","",IF(AT172="SI","Reponer ahora",IF(AND(AQ172&lt;&gt;"",AR172&gt;0),"Bajar "&amp;TEXT(AR172,"#,##0")&amp;" un.","En rango")))</f>
        <v/>
      </c>
    </row>
    <row r="173">
      <c r="A173">
        <f>IF(Datos!A173="","",Datos!A173)</f>
        <v/>
      </c>
      <c r="B173">
        <f>IF(Datos!A173="","",Datos!B173)</f>
        <v/>
      </c>
      <c r="C173">
        <f>IF(Datos!A173="","",IFERROR(MAX(0,N(Datos!D173)),0))</f>
        <v/>
      </c>
      <c r="D173">
        <f>IF(Datos!A173="","",IFERROR(MAX(0,N(Datos!E173)),0))</f>
        <v/>
      </c>
      <c r="E173">
        <f>IF(Datos!A173="","",IFERROR(MAX(0,N(Datos!F173)),0))</f>
        <v/>
      </c>
      <c r="F173">
        <f>IF(Datos!A173="","",IFERROR(MAX(0,N(Datos!G173)),0))</f>
        <v/>
      </c>
      <c r="G173">
        <f>IF(Datos!A173="","",IFERROR(MAX(0,N(Datos!H173)),0))</f>
        <v/>
      </c>
      <c r="H173">
        <f>IF(Datos!A173="","",IFERROR(MAX(0,N(Datos!I173)),0))</f>
        <v/>
      </c>
      <c r="J173">
        <f>IF(Datos!A173="","",IF(MAX(C$2:C$301)-MIN(C$2:C$301)&lt;0.000000001,0.5,(C173-MIN(C$2:C$301))/(MAX(C$2:C$301)-MIN(C$2:C$301)))+0.000000001)</f>
        <v/>
      </c>
      <c r="K173">
        <f>IF(Datos!A173="","",IF(MAX(D$2:D$301)-MIN(D$2:D$301)&lt;0.000000001,0.5,(D173-MIN(D$2:D$301))/(MAX(D$2:D$301)-MIN(D$2:D$301)))+0.000000001)</f>
        <v/>
      </c>
      <c r="L173">
        <f>IF(Datos!A173="","",IF(MAX(E$2:E$301)-MIN(E$2:E$301)&lt;0.000000001,0.5,(E173-MIN(E$2:E$301))/(MAX(E$2:E$301)-MIN(E$2:E$301)))+0.000000001)</f>
        <v/>
      </c>
      <c r="M173">
        <f>IF(Datos!A173="","",IF(MAX(F$2:F$301)-MIN(F$2:F$301)&lt;0.000000001,0.5,(F173-MIN(F$2:F$301))/(MAX(F$2:F$301)-MIN(F$2:F$301)))+0.000000001)</f>
        <v/>
      </c>
      <c r="N173">
        <f>IF(Datos!A173="","",IF(MAX(G$2:G$301)-MIN(G$2:G$301)&lt;0.000000001,0.5,(G173-MIN(G$2:G$301))/(MAX(G$2:G$301)-MIN(G$2:G$301)))+0.000000001)</f>
        <v/>
      </c>
      <c r="O173">
        <f>IF(Datos!A173="","",IF(MAX(H$2:H$301)-MIN(H$2:H$301)&lt;0.000000001,0.5,(H173-MIN(H$2:H$301))/(MAX(H$2:H$301)-MIN(H$2:H$301)))+0.000000001)</f>
        <v/>
      </c>
      <c r="Q173">
        <f>IF(Datos!A173="","",(J173/SUM(J$2:J$301))*LN(J173/SUM(J$2:J$301)))</f>
        <v/>
      </c>
      <c r="R173">
        <f>IF(Datos!A173="","",(K173/SUM(K$2:K$301))*LN(K173/SUM(K$2:K$301)))</f>
        <v/>
      </c>
      <c r="S173">
        <f>IF(Datos!A173="","",(L173/SUM(L$2:L$301))*LN(L173/SUM(L$2:L$301)))</f>
        <v/>
      </c>
      <c r="T173">
        <f>IF(Datos!A173="","",(M173/SUM(M$2:M$301))*LN(M173/SUM(M$2:M$301)))</f>
        <v/>
      </c>
      <c r="U173">
        <f>IF(Datos!A173="","",(N173/SUM(N$2:N$301))*LN(N173/SUM(N$2:N$301)))</f>
        <v/>
      </c>
      <c r="V173">
        <f>IF(Datos!A173="","",(O173/SUM(O$2:O$301))*LN(O173/SUM(O$2:O$301)))</f>
        <v/>
      </c>
      <c r="X173">
        <f>IF(Datos!A173="","",IF(SUMSQ(C$2:C$301)=0,0,C173/SQRT(SUMSQ(C$2:C$301)))*$BE$2)</f>
        <v/>
      </c>
      <c r="Y173">
        <f>IF(Datos!A173="","",IF(SUMSQ(D$2:D$301)=0,0,D173/SQRT(SUMSQ(D$2:D$301)))*$BE$3)</f>
        <v/>
      </c>
      <c r="Z173">
        <f>IF(Datos!A173="","",IF(SUMSQ(E$2:E$301)=0,0,E173/SQRT(SUMSQ(E$2:E$301)))*$BE$4)</f>
        <v/>
      </c>
      <c r="AA173">
        <f>IF(Datos!A173="","",IF(SUMSQ(F$2:F$301)=0,0,F173/SQRT(SUMSQ(F$2:F$301)))*$BE$5)</f>
        <v/>
      </c>
      <c r="AB173">
        <f>IF(Datos!A173="","",IF(SUMSQ(G$2:G$301)=0,0,G173/SQRT(SUMSQ(G$2:G$301)))*$BE$6)</f>
        <v/>
      </c>
      <c r="AC173">
        <f>IF(Datos!A173="","",IF(SUMSQ(H$2:H$301)=0,0,H173/SQRT(SUMSQ(H$2:H$301)))*$BE$7)</f>
        <v/>
      </c>
      <c r="AE173">
        <f>IF(Datos!A173="","",SQRT(SUMXMY2(X173:AC173,$X$303:$AC$303)))</f>
        <v/>
      </c>
      <c r="AF173">
        <f>IF(Datos!A173="","",SQRT(SUMXMY2(X173:AC173,$X$304:$AC$304)))</f>
        <v/>
      </c>
      <c r="AG173" s="11">
        <f>IF(Datos!A173="","",IF(AE173+AF173&lt;0.000000001,0.5,AF173/(AE173+AF173)))</f>
        <v/>
      </c>
      <c r="AH173">
        <f>IF(Datos!A173="","",AG173*MAX(C173*D173,1))</f>
        <v/>
      </c>
      <c r="AI173">
        <f>IF(Datos!A173="","",SUMIF($AH$2:$AH$301,"&gt;="&amp;AH173,$AH$2:$AH$301)/SUM($AH$2:$AH$301))</f>
        <v/>
      </c>
      <c r="AJ173" s="12">
        <f>IF(Datos!A173="","",IF(AI173&lt;=Parametros!$B$13,"A",IF(AI173&lt;=Parametros!$B$14,"B","C")))</f>
        <v/>
      </c>
      <c r="AK173" s="13">
        <f>IF(Datos!A173="","",VLOOKUP(AJ173,Parametros!$A$8:$C$10,2,FALSE))</f>
        <v/>
      </c>
      <c r="AL173">
        <f>IF(Datos!A173="","",VLOOKUP(AJ173,Parametros!$A$8:$C$10,3,FALSE))</f>
        <v/>
      </c>
      <c r="AM173">
        <f>IF(Datos!A173="","",NORMSINV(AK173))</f>
        <v/>
      </c>
      <c r="AN173">
        <f>IF(Datos!A173="","",D173/Parametros!$B$4)</f>
        <v/>
      </c>
      <c r="AO173">
        <f>IF(Datos!A173="","",MAX(0,ROUNDUP(AM173*(AN173*Parametros!$B$3)*SQRT((AL173+E173)),0)))</f>
        <v/>
      </c>
      <c r="AP173">
        <f>IF(Datos!A173="","",MAX(1,ROUNDUP(AN173*(AL173+E173)+AM173*(AN173*Parametros!$B$3)*SQRT((AL173+E173)),0)))</f>
        <v/>
      </c>
      <c r="AQ173">
        <f>IF(Datos!A173="","",IF(Datos!J173="","",Datos!J173))</f>
        <v/>
      </c>
      <c r="AR173">
        <f>IF(OR(Datos!A173="",AQ173=""),"",MAX(0,AQ173-AP173))</f>
        <v/>
      </c>
      <c r="AS173" s="10">
        <f>IF(OR(Datos!A173="",AQ173=""),"",AR173*C173)</f>
        <v/>
      </c>
      <c r="AT173" s="12">
        <f>IF(OR(Datos!A173="",AQ173=""),"",IF(AQ173&lt;AO173,"SI",""))</f>
        <v/>
      </c>
      <c r="AU173">
        <f>IF(Datos!A173="","",IF(AT173="SI","Reponer ahora",IF(AND(AQ173&lt;&gt;"",AR173&gt;0),"Bajar "&amp;TEXT(AR173,"#,##0")&amp;" un.","En rango")))</f>
        <v/>
      </c>
    </row>
    <row r="174">
      <c r="A174">
        <f>IF(Datos!A174="","",Datos!A174)</f>
        <v/>
      </c>
      <c r="B174">
        <f>IF(Datos!A174="","",Datos!B174)</f>
        <v/>
      </c>
      <c r="C174">
        <f>IF(Datos!A174="","",IFERROR(MAX(0,N(Datos!D174)),0))</f>
        <v/>
      </c>
      <c r="D174">
        <f>IF(Datos!A174="","",IFERROR(MAX(0,N(Datos!E174)),0))</f>
        <v/>
      </c>
      <c r="E174">
        <f>IF(Datos!A174="","",IFERROR(MAX(0,N(Datos!F174)),0))</f>
        <v/>
      </c>
      <c r="F174">
        <f>IF(Datos!A174="","",IFERROR(MAX(0,N(Datos!G174)),0))</f>
        <v/>
      </c>
      <c r="G174">
        <f>IF(Datos!A174="","",IFERROR(MAX(0,N(Datos!H174)),0))</f>
        <v/>
      </c>
      <c r="H174">
        <f>IF(Datos!A174="","",IFERROR(MAX(0,N(Datos!I174)),0))</f>
        <v/>
      </c>
      <c r="J174">
        <f>IF(Datos!A174="","",IF(MAX(C$2:C$301)-MIN(C$2:C$301)&lt;0.000000001,0.5,(C174-MIN(C$2:C$301))/(MAX(C$2:C$301)-MIN(C$2:C$301)))+0.000000001)</f>
        <v/>
      </c>
      <c r="K174">
        <f>IF(Datos!A174="","",IF(MAX(D$2:D$301)-MIN(D$2:D$301)&lt;0.000000001,0.5,(D174-MIN(D$2:D$301))/(MAX(D$2:D$301)-MIN(D$2:D$301)))+0.000000001)</f>
        <v/>
      </c>
      <c r="L174">
        <f>IF(Datos!A174="","",IF(MAX(E$2:E$301)-MIN(E$2:E$301)&lt;0.000000001,0.5,(E174-MIN(E$2:E$301))/(MAX(E$2:E$301)-MIN(E$2:E$301)))+0.000000001)</f>
        <v/>
      </c>
      <c r="M174">
        <f>IF(Datos!A174="","",IF(MAX(F$2:F$301)-MIN(F$2:F$301)&lt;0.000000001,0.5,(F174-MIN(F$2:F$301))/(MAX(F$2:F$301)-MIN(F$2:F$301)))+0.000000001)</f>
        <v/>
      </c>
      <c r="N174">
        <f>IF(Datos!A174="","",IF(MAX(G$2:G$301)-MIN(G$2:G$301)&lt;0.000000001,0.5,(G174-MIN(G$2:G$301))/(MAX(G$2:G$301)-MIN(G$2:G$301)))+0.000000001)</f>
        <v/>
      </c>
      <c r="O174">
        <f>IF(Datos!A174="","",IF(MAX(H$2:H$301)-MIN(H$2:H$301)&lt;0.000000001,0.5,(H174-MIN(H$2:H$301))/(MAX(H$2:H$301)-MIN(H$2:H$301)))+0.000000001)</f>
        <v/>
      </c>
      <c r="Q174">
        <f>IF(Datos!A174="","",(J174/SUM(J$2:J$301))*LN(J174/SUM(J$2:J$301)))</f>
        <v/>
      </c>
      <c r="R174">
        <f>IF(Datos!A174="","",(K174/SUM(K$2:K$301))*LN(K174/SUM(K$2:K$301)))</f>
        <v/>
      </c>
      <c r="S174">
        <f>IF(Datos!A174="","",(L174/SUM(L$2:L$301))*LN(L174/SUM(L$2:L$301)))</f>
        <v/>
      </c>
      <c r="T174">
        <f>IF(Datos!A174="","",(M174/SUM(M$2:M$301))*LN(M174/SUM(M$2:M$301)))</f>
        <v/>
      </c>
      <c r="U174">
        <f>IF(Datos!A174="","",(N174/SUM(N$2:N$301))*LN(N174/SUM(N$2:N$301)))</f>
        <v/>
      </c>
      <c r="V174">
        <f>IF(Datos!A174="","",(O174/SUM(O$2:O$301))*LN(O174/SUM(O$2:O$301)))</f>
        <v/>
      </c>
      <c r="X174">
        <f>IF(Datos!A174="","",IF(SUMSQ(C$2:C$301)=0,0,C174/SQRT(SUMSQ(C$2:C$301)))*$BE$2)</f>
        <v/>
      </c>
      <c r="Y174">
        <f>IF(Datos!A174="","",IF(SUMSQ(D$2:D$301)=0,0,D174/SQRT(SUMSQ(D$2:D$301)))*$BE$3)</f>
        <v/>
      </c>
      <c r="Z174">
        <f>IF(Datos!A174="","",IF(SUMSQ(E$2:E$301)=0,0,E174/SQRT(SUMSQ(E$2:E$301)))*$BE$4)</f>
        <v/>
      </c>
      <c r="AA174">
        <f>IF(Datos!A174="","",IF(SUMSQ(F$2:F$301)=0,0,F174/SQRT(SUMSQ(F$2:F$301)))*$BE$5)</f>
        <v/>
      </c>
      <c r="AB174">
        <f>IF(Datos!A174="","",IF(SUMSQ(G$2:G$301)=0,0,G174/SQRT(SUMSQ(G$2:G$301)))*$BE$6)</f>
        <v/>
      </c>
      <c r="AC174">
        <f>IF(Datos!A174="","",IF(SUMSQ(H$2:H$301)=0,0,H174/SQRT(SUMSQ(H$2:H$301)))*$BE$7)</f>
        <v/>
      </c>
      <c r="AE174">
        <f>IF(Datos!A174="","",SQRT(SUMXMY2(X174:AC174,$X$303:$AC$303)))</f>
        <v/>
      </c>
      <c r="AF174">
        <f>IF(Datos!A174="","",SQRT(SUMXMY2(X174:AC174,$X$304:$AC$304)))</f>
        <v/>
      </c>
      <c r="AG174" s="11">
        <f>IF(Datos!A174="","",IF(AE174+AF174&lt;0.000000001,0.5,AF174/(AE174+AF174)))</f>
        <v/>
      </c>
      <c r="AH174">
        <f>IF(Datos!A174="","",AG174*MAX(C174*D174,1))</f>
        <v/>
      </c>
      <c r="AI174">
        <f>IF(Datos!A174="","",SUMIF($AH$2:$AH$301,"&gt;="&amp;AH174,$AH$2:$AH$301)/SUM($AH$2:$AH$301))</f>
        <v/>
      </c>
      <c r="AJ174" s="12">
        <f>IF(Datos!A174="","",IF(AI174&lt;=Parametros!$B$13,"A",IF(AI174&lt;=Parametros!$B$14,"B","C")))</f>
        <v/>
      </c>
      <c r="AK174" s="13">
        <f>IF(Datos!A174="","",VLOOKUP(AJ174,Parametros!$A$8:$C$10,2,FALSE))</f>
        <v/>
      </c>
      <c r="AL174">
        <f>IF(Datos!A174="","",VLOOKUP(AJ174,Parametros!$A$8:$C$10,3,FALSE))</f>
        <v/>
      </c>
      <c r="AM174">
        <f>IF(Datos!A174="","",NORMSINV(AK174))</f>
        <v/>
      </c>
      <c r="AN174">
        <f>IF(Datos!A174="","",D174/Parametros!$B$4)</f>
        <v/>
      </c>
      <c r="AO174">
        <f>IF(Datos!A174="","",MAX(0,ROUNDUP(AM174*(AN174*Parametros!$B$3)*SQRT((AL174+E174)),0)))</f>
        <v/>
      </c>
      <c r="AP174">
        <f>IF(Datos!A174="","",MAX(1,ROUNDUP(AN174*(AL174+E174)+AM174*(AN174*Parametros!$B$3)*SQRT((AL174+E174)),0)))</f>
        <v/>
      </c>
      <c r="AQ174">
        <f>IF(Datos!A174="","",IF(Datos!J174="","",Datos!J174))</f>
        <v/>
      </c>
      <c r="AR174">
        <f>IF(OR(Datos!A174="",AQ174=""),"",MAX(0,AQ174-AP174))</f>
        <v/>
      </c>
      <c r="AS174" s="10">
        <f>IF(OR(Datos!A174="",AQ174=""),"",AR174*C174)</f>
        <v/>
      </c>
      <c r="AT174" s="12">
        <f>IF(OR(Datos!A174="",AQ174=""),"",IF(AQ174&lt;AO174,"SI",""))</f>
        <v/>
      </c>
      <c r="AU174">
        <f>IF(Datos!A174="","",IF(AT174="SI","Reponer ahora",IF(AND(AQ174&lt;&gt;"",AR174&gt;0),"Bajar "&amp;TEXT(AR174,"#,##0")&amp;" un.","En rango")))</f>
        <v/>
      </c>
    </row>
    <row r="175">
      <c r="A175">
        <f>IF(Datos!A175="","",Datos!A175)</f>
        <v/>
      </c>
      <c r="B175">
        <f>IF(Datos!A175="","",Datos!B175)</f>
        <v/>
      </c>
      <c r="C175">
        <f>IF(Datos!A175="","",IFERROR(MAX(0,N(Datos!D175)),0))</f>
        <v/>
      </c>
      <c r="D175">
        <f>IF(Datos!A175="","",IFERROR(MAX(0,N(Datos!E175)),0))</f>
        <v/>
      </c>
      <c r="E175">
        <f>IF(Datos!A175="","",IFERROR(MAX(0,N(Datos!F175)),0))</f>
        <v/>
      </c>
      <c r="F175">
        <f>IF(Datos!A175="","",IFERROR(MAX(0,N(Datos!G175)),0))</f>
        <v/>
      </c>
      <c r="G175">
        <f>IF(Datos!A175="","",IFERROR(MAX(0,N(Datos!H175)),0))</f>
        <v/>
      </c>
      <c r="H175">
        <f>IF(Datos!A175="","",IFERROR(MAX(0,N(Datos!I175)),0))</f>
        <v/>
      </c>
      <c r="J175">
        <f>IF(Datos!A175="","",IF(MAX(C$2:C$301)-MIN(C$2:C$301)&lt;0.000000001,0.5,(C175-MIN(C$2:C$301))/(MAX(C$2:C$301)-MIN(C$2:C$301)))+0.000000001)</f>
        <v/>
      </c>
      <c r="K175">
        <f>IF(Datos!A175="","",IF(MAX(D$2:D$301)-MIN(D$2:D$301)&lt;0.000000001,0.5,(D175-MIN(D$2:D$301))/(MAX(D$2:D$301)-MIN(D$2:D$301)))+0.000000001)</f>
        <v/>
      </c>
      <c r="L175">
        <f>IF(Datos!A175="","",IF(MAX(E$2:E$301)-MIN(E$2:E$301)&lt;0.000000001,0.5,(E175-MIN(E$2:E$301))/(MAX(E$2:E$301)-MIN(E$2:E$301)))+0.000000001)</f>
        <v/>
      </c>
      <c r="M175">
        <f>IF(Datos!A175="","",IF(MAX(F$2:F$301)-MIN(F$2:F$301)&lt;0.000000001,0.5,(F175-MIN(F$2:F$301))/(MAX(F$2:F$301)-MIN(F$2:F$301)))+0.000000001)</f>
        <v/>
      </c>
      <c r="N175">
        <f>IF(Datos!A175="","",IF(MAX(G$2:G$301)-MIN(G$2:G$301)&lt;0.000000001,0.5,(G175-MIN(G$2:G$301))/(MAX(G$2:G$301)-MIN(G$2:G$301)))+0.000000001)</f>
        <v/>
      </c>
      <c r="O175">
        <f>IF(Datos!A175="","",IF(MAX(H$2:H$301)-MIN(H$2:H$301)&lt;0.000000001,0.5,(H175-MIN(H$2:H$301))/(MAX(H$2:H$301)-MIN(H$2:H$301)))+0.000000001)</f>
        <v/>
      </c>
      <c r="Q175">
        <f>IF(Datos!A175="","",(J175/SUM(J$2:J$301))*LN(J175/SUM(J$2:J$301)))</f>
        <v/>
      </c>
      <c r="R175">
        <f>IF(Datos!A175="","",(K175/SUM(K$2:K$301))*LN(K175/SUM(K$2:K$301)))</f>
        <v/>
      </c>
      <c r="S175">
        <f>IF(Datos!A175="","",(L175/SUM(L$2:L$301))*LN(L175/SUM(L$2:L$301)))</f>
        <v/>
      </c>
      <c r="T175">
        <f>IF(Datos!A175="","",(M175/SUM(M$2:M$301))*LN(M175/SUM(M$2:M$301)))</f>
        <v/>
      </c>
      <c r="U175">
        <f>IF(Datos!A175="","",(N175/SUM(N$2:N$301))*LN(N175/SUM(N$2:N$301)))</f>
        <v/>
      </c>
      <c r="V175">
        <f>IF(Datos!A175="","",(O175/SUM(O$2:O$301))*LN(O175/SUM(O$2:O$301)))</f>
        <v/>
      </c>
      <c r="X175">
        <f>IF(Datos!A175="","",IF(SUMSQ(C$2:C$301)=0,0,C175/SQRT(SUMSQ(C$2:C$301)))*$BE$2)</f>
        <v/>
      </c>
      <c r="Y175">
        <f>IF(Datos!A175="","",IF(SUMSQ(D$2:D$301)=0,0,D175/SQRT(SUMSQ(D$2:D$301)))*$BE$3)</f>
        <v/>
      </c>
      <c r="Z175">
        <f>IF(Datos!A175="","",IF(SUMSQ(E$2:E$301)=0,0,E175/SQRT(SUMSQ(E$2:E$301)))*$BE$4)</f>
        <v/>
      </c>
      <c r="AA175">
        <f>IF(Datos!A175="","",IF(SUMSQ(F$2:F$301)=0,0,F175/SQRT(SUMSQ(F$2:F$301)))*$BE$5)</f>
        <v/>
      </c>
      <c r="AB175">
        <f>IF(Datos!A175="","",IF(SUMSQ(G$2:G$301)=0,0,G175/SQRT(SUMSQ(G$2:G$301)))*$BE$6)</f>
        <v/>
      </c>
      <c r="AC175">
        <f>IF(Datos!A175="","",IF(SUMSQ(H$2:H$301)=0,0,H175/SQRT(SUMSQ(H$2:H$301)))*$BE$7)</f>
        <v/>
      </c>
      <c r="AE175">
        <f>IF(Datos!A175="","",SQRT(SUMXMY2(X175:AC175,$X$303:$AC$303)))</f>
        <v/>
      </c>
      <c r="AF175">
        <f>IF(Datos!A175="","",SQRT(SUMXMY2(X175:AC175,$X$304:$AC$304)))</f>
        <v/>
      </c>
      <c r="AG175" s="11">
        <f>IF(Datos!A175="","",IF(AE175+AF175&lt;0.000000001,0.5,AF175/(AE175+AF175)))</f>
        <v/>
      </c>
      <c r="AH175">
        <f>IF(Datos!A175="","",AG175*MAX(C175*D175,1))</f>
        <v/>
      </c>
      <c r="AI175">
        <f>IF(Datos!A175="","",SUMIF($AH$2:$AH$301,"&gt;="&amp;AH175,$AH$2:$AH$301)/SUM($AH$2:$AH$301))</f>
        <v/>
      </c>
      <c r="AJ175" s="12">
        <f>IF(Datos!A175="","",IF(AI175&lt;=Parametros!$B$13,"A",IF(AI175&lt;=Parametros!$B$14,"B","C")))</f>
        <v/>
      </c>
      <c r="AK175" s="13">
        <f>IF(Datos!A175="","",VLOOKUP(AJ175,Parametros!$A$8:$C$10,2,FALSE))</f>
        <v/>
      </c>
      <c r="AL175">
        <f>IF(Datos!A175="","",VLOOKUP(AJ175,Parametros!$A$8:$C$10,3,FALSE))</f>
        <v/>
      </c>
      <c r="AM175">
        <f>IF(Datos!A175="","",NORMSINV(AK175))</f>
        <v/>
      </c>
      <c r="AN175">
        <f>IF(Datos!A175="","",D175/Parametros!$B$4)</f>
        <v/>
      </c>
      <c r="AO175">
        <f>IF(Datos!A175="","",MAX(0,ROUNDUP(AM175*(AN175*Parametros!$B$3)*SQRT((AL175+E175)),0)))</f>
        <v/>
      </c>
      <c r="AP175">
        <f>IF(Datos!A175="","",MAX(1,ROUNDUP(AN175*(AL175+E175)+AM175*(AN175*Parametros!$B$3)*SQRT((AL175+E175)),0)))</f>
        <v/>
      </c>
      <c r="AQ175">
        <f>IF(Datos!A175="","",IF(Datos!J175="","",Datos!J175))</f>
        <v/>
      </c>
      <c r="AR175">
        <f>IF(OR(Datos!A175="",AQ175=""),"",MAX(0,AQ175-AP175))</f>
        <v/>
      </c>
      <c r="AS175" s="10">
        <f>IF(OR(Datos!A175="",AQ175=""),"",AR175*C175)</f>
        <v/>
      </c>
      <c r="AT175" s="12">
        <f>IF(OR(Datos!A175="",AQ175=""),"",IF(AQ175&lt;AO175,"SI",""))</f>
        <v/>
      </c>
      <c r="AU175">
        <f>IF(Datos!A175="","",IF(AT175="SI","Reponer ahora",IF(AND(AQ175&lt;&gt;"",AR175&gt;0),"Bajar "&amp;TEXT(AR175,"#,##0")&amp;" un.","En rango")))</f>
        <v/>
      </c>
    </row>
    <row r="176">
      <c r="A176">
        <f>IF(Datos!A176="","",Datos!A176)</f>
        <v/>
      </c>
      <c r="B176">
        <f>IF(Datos!A176="","",Datos!B176)</f>
        <v/>
      </c>
      <c r="C176">
        <f>IF(Datos!A176="","",IFERROR(MAX(0,N(Datos!D176)),0))</f>
        <v/>
      </c>
      <c r="D176">
        <f>IF(Datos!A176="","",IFERROR(MAX(0,N(Datos!E176)),0))</f>
        <v/>
      </c>
      <c r="E176">
        <f>IF(Datos!A176="","",IFERROR(MAX(0,N(Datos!F176)),0))</f>
        <v/>
      </c>
      <c r="F176">
        <f>IF(Datos!A176="","",IFERROR(MAX(0,N(Datos!G176)),0))</f>
        <v/>
      </c>
      <c r="G176">
        <f>IF(Datos!A176="","",IFERROR(MAX(0,N(Datos!H176)),0))</f>
        <v/>
      </c>
      <c r="H176">
        <f>IF(Datos!A176="","",IFERROR(MAX(0,N(Datos!I176)),0))</f>
        <v/>
      </c>
      <c r="J176">
        <f>IF(Datos!A176="","",IF(MAX(C$2:C$301)-MIN(C$2:C$301)&lt;0.000000001,0.5,(C176-MIN(C$2:C$301))/(MAX(C$2:C$301)-MIN(C$2:C$301)))+0.000000001)</f>
        <v/>
      </c>
      <c r="K176">
        <f>IF(Datos!A176="","",IF(MAX(D$2:D$301)-MIN(D$2:D$301)&lt;0.000000001,0.5,(D176-MIN(D$2:D$301))/(MAX(D$2:D$301)-MIN(D$2:D$301)))+0.000000001)</f>
        <v/>
      </c>
      <c r="L176">
        <f>IF(Datos!A176="","",IF(MAX(E$2:E$301)-MIN(E$2:E$301)&lt;0.000000001,0.5,(E176-MIN(E$2:E$301))/(MAX(E$2:E$301)-MIN(E$2:E$301)))+0.000000001)</f>
        <v/>
      </c>
      <c r="M176">
        <f>IF(Datos!A176="","",IF(MAX(F$2:F$301)-MIN(F$2:F$301)&lt;0.000000001,0.5,(F176-MIN(F$2:F$301))/(MAX(F$2:F$301)-MIN(F$2:F$301)))+0.000000001)</f>
        <v/>
      </c>
      <c r="N176">
        <f>IF(Datos!A176="","",IF(MAX(G$2:G$301)-MIN(G$2:G$301)&lt;0.000000001,0.5,(G176-MIN(G$2:G$301))/(MAX(G$2:G$301)-MIN(G$2:G$301)))+0.000000001)</f>
        <v/>
      </c>
      <c r="O176">
        <f>IF(Datos!A176="","",IF(MAX(H$2:H$301)-MIN(H$2:H$301)&lt;0.000000001,0.5,(H176-MIN(H$2:H$301))/(MAX(H$2:H$301)-MIN(H$2:H$301)))+0.000000001)</f>
        <v/>
      </c>
      <c r="Q176">
        <f>IF(Datos!A176="","",(J176/SUM(J$2:J$301))*LN(J176/SUM(J$2:J$301)))</f>
        <v/>
      </c>
      <c r="R176">
        <f>IF(Datos!A176="","",(K176/SUM(K$2:K$301))*LN(K176/SUM(K$2:K$301)))</f>
        <v/>
      </c>
      <c r="S176">
        <f>IF(Datos!A176="","",(L176/SUM(L$2:L$301))*LN(L176/SUM(L$2:L$301)))</f>
        <v/>
      </c>
      <c r="T176">
        <f>IF(Datos!A176="","",(M176/SUM(M$2:M$301))*LN(M176/SUM(M$2:M$301)))</f>
        <v/>
      </c>
      <c r="U176">
        <f>IF(Datos!A176="","",(N176/SUM(N$2:N$301))*LN(N176/SUM(N$2:N$301)))</f>
        <v/>
      </c>
      <c r="V176">
        <f>IF(Datos!A176="","",(O176/SUM(O$2:O$301))*LN(O176/SUM(O$2:O$301)))</f>
        <v/>
      </c>
      <c r="X176">
        <f>IF(Datos!A176="","",IF(SUMSQ(C$2:C$301)=0,0,C176/SQRT(SUMSQ(C$2:C$301)))*$BE$2)</f>
        <v/>
      </c>
      <c r="Y176">
        <f>IF(Datos!A176="","",IF(SUMSQ(D$2:D$301)=0,0,D176/SQRT(SUMSQ(D$2:D$301)))*$BE$3)</f>
        <v/>
      </c>
      <c r="Z176">
        <f>IF(Datos!A176="","",IF(SUMSQ(E$2:E$301)=0,0,E176/SQRT(SUMSQ(E$2:E$301)))*$BE$4)</f>
        <v/>
      </c>
      <c r="AA176">
        <f>IF(Datos!A176="","",IF(SUMSQ(F$2:F$301)=0,0,F176/SQRT(SUMSQ(F$2:F$301)))*$BE$5)</f>
        <v/>
      </c>
      <c r="AB176">
        <f>IF(Datos!A176="","",IF(SUMSQ(G$2:G$301)=0,0,G176/SQRT(SUMSQ(G$2:G$301)))*$BE$6)</f>
        <v/>
      </c>
      <c r="AC176">
        <f>IF(Datos!A176="","",IF(SUMSQ(H$2:H$301)=0,0,H176/SQRT(SUMSQ(H$2:H$301)))*$BE$7)</f>
        <v/>
      </c>
      <c r="AE176">
        <f>IF(Datos!A176="","",SQRT(SUMXMY2(X176:AC176,$X$303:$AC$303)))</f>
        <v/>
      </c>
      <c r="AF176">
        <f>IF(Datos!A176="","",SQRT(SUMXMY2(X176:AC176,$X$304:$AC$304)))</f>
        <v/>
      </c>
      <c r="AG176" s="11">
        <f>IF(Datos!A176="","",IF(AE176+AF176&lt;0.000000001,0.5,AF176/(AE176+AF176)))</f>
        <v/>
      </c>
      <c r="AH176">
        <f>IF(Datos!A176="","",AG176*MAX(C176*D176,1))</f>
        <v/>
      </c>
      <c r="AI176">
        <f>IF(Datos!A176="","",SUMIF($AH$2:$AH$301,"&gt;="&amp;AH176,$AH$2:$AH$301)/SUM($AH$2:$AH$301))</f>
        <v/>
      </c>
      <c r="AJ176" s="12">
        <f>IF(Datos!A176="","",IF(AI176&lt;=Parametros!$B$13,"A",IF(AI176&lt;=Parametros!$B$14,"B","C")))</f>
        <v/>
      </c>
      <c r="AK176" s="13">
        <f>IF(Datos!A176="","",VLOOKUP(AJ176,Parametros!$A$8:$C$10,2,FALSE))</f>
        <v/>
      </c>
      <c r="AL176">
        <f>IF(Datos!A176="","",VLOOKUP(AJ176,Parametros!$A$8:$C$10,3,FALSE))</f>
        <v/>
      </c>
      <c r="AM176">
        <f>IF(Datos!A176="","",NORMSINV(AK176))</f>
        <v/>
      </c>
      <c r="AN176">
        <f>IF(Datos!A176="","",D176/Parametros!$B$4)</f>
        <v/>
      </c>
      <c r="AO176">
        <f>IF(Datos!A176="","",MAX(0,ROUNDUP(AM176*(AN176*Parametros!$B$3)*SQRT((AL176+E176)),0)))</f>
        <v/>
      </c>
      <c r="AP176">
        <f>IF(Datos!A176="","",MAX(1,ROUNDUP(AN176*(AL176+E176)+AM176*(AN176*Parametros!$B$3)*SQRT((AL176+E176)),0)))</f>
        <v/>
      </c>
      <c r="AQ176">
        <f>IF(Datos!A176="","",IF(Datos!J176="","",Datos!J176))</f>
        <v/>
      </c>
      <c r="AR176">
        <f>IF(OR(Datos!A176="",AQ176=""),"",MAX(0,AQ176-AP176))</f>
        <v/>
      </c>
      <c r="AS176" s="10">
        <f>IF(OR(Datos!A176="",AQ176=""),"",AR176*C176)</f>
        <v/>
      </c>
      <c r="AT176" s="12">
        <f>IF(OR(Datos!A176="",AQ176=""),"",IF(AQ176&lt;AO176,"SI",""))</f>
        <v/>
      </c>
      <c r="AU176">
        <f>IF(Datos!A176="","",IF(AT176="SI","Reponer ahora",IF(AND(AQ176&lt;&gt;"",AR176&gt;0),"Bajar "&amp;TEXT(AR176,"#,##0")&amp;" un.","En rango")))</f>
        <v/>
      </c>
    </row>
    <row r="177">
      <c r="A177">
        <f>IF(Datos!A177="","",Datos!A177)</f>
        <v/>
      </c>
      <c r="B177">
        <f>IF(Datos!A177="","",Datos!B177)</f>
        <v/>
      </c>
      <c r="C177">
        <f>IF(Datos!A177="","",IFERROR(MAX(0,N(Datos!D177)),0))</f>
        <v/>
      </c>
      <c r="D177">
        <f>IF(Datos!A177="","",IFERROR(MAX(0,N(Datos!E177)),0))</f>
        <v/>
      </c>
      <c r="E177">
        <f>IF(Datos!A177="","",IFERROR(MAX(0,N(Datos!F177)),0))</f>
        <v/>
      </c>
      <c r="F177">
        <f>IF(Datos!A177="","",IFERROR(MAX(0,N(Datos!G177)),0))</f>
        <v/>
      </c>
      <c r="G177">
        <f>IF(Datos!A177="","",IFERROR(MAX(0,N(Datos!H177)),0))</f>
        <v/>
      </c>
      <c r="H177">
        <f>IF(Datos!A177="","",IFERROR(MAX(0,N(Datos!I177)),0))</f>
        <v/>
      </c>
      <c r="J177">
        <f>IF(Datos!A177="","",IF(MAX(C$2:C$301)-MIN(C$2:C$301)&lt;0.000000001,0.5,(C177-MIN(C$2:C$301))/(MAX(C$2:C$301)-MIN(C$2:C$301)))+0.000000001)</f>
        <v/>
      </c>
      <c r="K177">
        <f>IF(Datos!A177="","",IF(MAX(D$2:D$301)-MIN(D$2:D$301)&lt;0.000000001,0.5,(D177-MIN(D$2:D$301))/(MAX(D$2:D$301)-MIN(D$2:D$301)))+0.000000001)</f>
        <v/>
      </c>
      <c r="L177">
        <f>IF(Datos!A177="","",IF(MAX(E$2:E$301)-MIN(E$2:E$301)&lt;0.000000001,0.5,(E177-MIN(E$2:E$301))/(MAX(E$2:E$301)-MIN(E$2:E$301)))+0.000000001)</f>
        <v/>
      </c>
      <c r="M177">
        <f>IF(Datos!A177="","",IF(MAX(F$2:F$301)-MIN(F$2:F$301)&lt;0.000000001,0.5,(F177-MIN(F$2:F$301))/(MAX(F$2:F$301)-MIN(F$2:F$301)))+0.000000001)</f>
        <v/>
      </c>
      <c r="N177">
        <f>IF(Datos!A177="","",IF(MAX(G$2:G$301)-MIN(G$2:G$301)&lt;0.000000001,0.5,(G177-MIN(G$2:G$301))/(MAX(G$2:G$301)-MIN(G$2:G$301)))+0.000000001)</f>
        <v/>
      </c>
      <c r="O177">
        <f>IF(Datos!A177="","",IF(MAX(H$2:H$301)-MIN(H$2:H$301)&lt;0.000000001,0.5,(H177-MIN(H$2:H$301))/(MAX(H$2:H$301)-MIN(H$2:H$301)))+0.000000001)</f>
        <v/>
      </c>
      <c r="Q177">
        <f>IF(Datos!A177="","",(J177/SUM(J$2:J$301))*LN(J177/SUM(J$2:J$301)))</f>
        <v/>
      </c>
      <c r="R177">
        <f>IF(Datos!A177="","",(K177/SUM(K$2:K$301))*LN(K177/SUM(K$2:K$301)))</f>
        <v/>
      </c>
      <c r="S177">
        <f>IF(Datos!A177="","",(L177/SUM(L$2:L$301))*LN(L177/SUM(L$2:L$301)))</f>
        <v/>
      </c>
      <c r="T177">
        <f>IF(Datos!A177="","",(M177/SUM(M$2:M$301))*LN(M177/SUM(M$2:M$301)))</f>
        <v/>
      </c>
      <c r="U177">
        <f>IF(Datos!A177="","",(N177/SUM(N$2:N$301))*LN(N177/SUM(N$2:N$301)))</f>
        <v/>
      </c>
      <c r="V177">
        <f>IF(Datos!A177="","",(O177/SUM(O$2:O$301))*LN(O177/SUM(O$2:O$301)))</f>
        <v/>
      </c>
      <c r="X177">
        <f>IF(Datos!A177="","",IF(SUMSQ(C$2:C$301)=0,0,C177/SQRT(SUMSQ(C$2:C$301)))*$BE$2)</f>
        <v/>
      </c>
      <c r="Y177">
        <f>IF(Datos!A177="","",IF(SUMSQ(D$2:D$301)=0,0,D177/SQRT(SUMSQ(D$2:D$301)))*$BE$3)</f>
        <v/>
      </c>
      <c r="Z177">
        <f>IF(Datos!A177="","",IF(SUMSQ(E$2:E$301)=0,0,E177/SQRT(SUMSQ(E$2:E$301)))*$BE$4)</f>
        <v/>
      </c>
      <c r="AA177">
        <f>IF(Datos!A177="","",IF(SUMSQ(F$2:F$301)=0,0,F177/SQRT(SUMSQ(F$2:F$301)))*$BE$5)</f>
        <v/>
      </c>
      <c r="AB177">
        <f>IF(Datos!A177="","",IF(SUMSQ(G$2:G$301)=0,0,G177/SQRT(SUMSQ(G$2:G$301)))*$BE$6)</f>
        <v/>
      </c>
      <c r="AC177">
        <f>IF(Datos!A177="","",IF(SUMSQ(H$2:H$301)=0,0,H177/SQRT(SUMSQ(H$2:H$301)))*$BE$7)</f>
        <v/>
      </c>
      <c r="AE177">
        <f>IF(Datos!A177="","",SQRT(SUMXMY2(X177:AC177,$X$303:$AC$303)))</f>
        <v/>
      </c>
      <c r="AF177">
        <f>IF(Datos!A177="","",SQRT(SUMXMY2(X177:AC177,$X$304:$AC$304)))</f>
        <v/>
      </c>
      <c r="AG177" s="11">
        <f>IF(Datos!A177="","",IF(AE177+AF177&lt;0.000000001,0.5,AF177/(AE177+AF177)))</f>
        <v/>
      </c>
      <c r="AH177">
        <f>IF(Datos!A177="","",AG177*MAX(C177*D177,1))</f>
        <v/>
      </c>
      <c r="AI177">
        <f>IF(Datos!A177="","",SUMIF($AH$2:$AH$301,"&gt;="&amp;AH177,$AH$2:$AH$301)/SUM($AH$2:$AH$301))</f>
        <v/>
      </c>
      <c r="AJ177" s="12">
        <f>IF(Datos!A177="","",IF(AI177&lt;=Parametros!$B$13,"A",IF(AI177&lt;=Parametros!$B$14,"B","C")))</f>
        <v/>
      </c>
      <c r="AK177" s="13">
        <f>IF(Datos!A177="","",VLOOKUP(AJ177,Parametros!$A$8:$C$10,2,FALSE))</f>
        <v/>
      </c>
      <c r="AL177">
        <f>IF(Datos!A177="","",VLOOKUP(AJ177,Parametros!$A$8:$C$10,3,FALSE))</f>
        <v/>
      </c>
      <c r="AM177">
        <f>IF(Datos!A177="","",NORMSINV(AK177))</f>
        <v/>
      </c>
      <c r="AN177">
        <f>IF(Datos!A177="","",D177/Parametros!$B$4)</f>
        <v/>
      </c>
      <c r="AO177">
        <f>IF(Datos!A177="","",MAX(0,ROUNDUP(AM177*(AN177*Parametros!$B$3)*SQRT((AL177+E177)),0)))</f>
        <v/>
      </c>
      <c r="AP177">
        <f>IF(Datos!A177="","",MAX(1,ROUNDUP(AN177*(AL177+E177)+AM177*(AN177*Parametros!$B$3)*SQRT((AL177+E177)),0)))</f>
        <v/>
      </c>
      <c r="AQ177">
        <f>IF(Datos!A177="","",IF(Datos!J177="","",Datos!J177))</f>
        <v/>
      </c>
      <c r="AR177">
        <f>IF(OR(Datos!A177="",AQ177=""),"",MAX(0,AQ177-AP177))</f>
        <v/>
      </c>
      <c r="AS177" s="10">
        <f>IF(OR(Datos!A177="",AQ177=""),"",AR177*C177)</f>
        <v/>
      </c>
      <c r="AT177" s="12">
        <f>IF(OR(Datos!A177="",AQ177=""),"",IF(AQ177&lt;AO177,"SI",""))</f>
        <v/>
      </c>
      <c r="AU177">
        <f>IF(Datos!A177="","",IF(AT177="SI","Reponer ahora",IF(AND(AQ177&lt;&gt;"",AR177&gt;0),"Bajar "&amp;TEXT(AR177,"#,##0")&amp;" un.","En rango")))</f>
        <v/>
      </c>
    </row>
    <row r="178">
      <c r="A178">
        <f>IF(Datos!A178="","",Datos!A178)</f>
        <v/>
      </c>
      <c r="B178">
        <f>IF(Datos!A178="","",Datos!B178)</f>
        <v/>
      </c>
      <c r="C178">
        <f>IF(Datos!A178="","",IFERROR(MAX(0,N(Datos!D178)),0))</f>
        <v/>
      </c>
      <c r="D178">
        <f>IF(Datos!A178="","",IFERROR(MAX(0,N(Datos!E178)),0))</f>
        <v/>
      </c>
      <c r="E178">
        <f>IF(Datos!A178="","",IFERROR(MAX(0,N(Datos!F178)),0))</f>
        <v/>
      </c>
      <c r="F178">
        <f>IF(Datos!A178="","",IFERROR(MAX(0,N(Datos!G178)),0))</f>
        <v/>
      </c>
      <c r="G178">
        <f>IF(Datos!A178="","",IFERROR(MAX(0,N(Datos!H178)),0))</f>
        <v/>
      </c>
      <c r="H178">
        <f>IF(Datos!A178="","",IFERROR(MAX(0,N(Datos!I178)),0))</f>
        <v/>
      </c>
      <c r="J178">
        <f>IF(Datos!A178="","",IF(MAX(C$2:C$301)-MIN(C$2:C$301)&lt;0.000000001,0.5,(C178-MIN(C$2:C$301))/(MAX(C$2:C$301)-MIN(C$2:C$301)))+0.000000001)</f>
        <v/>
      </c>
      <c r="K178">
        <f>IF(Datos!A178="","",IF(MAX(D$2:D$301)-MIN(D$2:D$301)&lt;0.000000001,0.5,(D178-MIN(D$2:D$301))/(MAX(D$2:D$301)-MIN(D$2:D$301)))+0.000000001)</f>
        <v/>
      </c>
      <c r="L178">
        <f>IF(Datos!A178="","",IF(MAX(E$2:E$301)-MIN(E$2:E$301)&lt;0.000000001,0.5,(E178-MIN(E$2:E$301))/(MAX(E$2:E$301)-MIN(E$2:E$301)))+0.000000001)</f>
        <v/>
      </c>
      <c r="M178">
        <f>IF(Datos!A178="","",IF(MAX(F$2:F$301)-MIN(F$2:F$301)&lt;0.000000001,0.5,(F178-MIN(F$2:F$301))/(MAX(F$2:F$301)-MIN(F$2:F$301)))+0.000000001)</f>
        <v/>
      </c>
      <c r="N178">
        <f>IF(Datos!A178="","",IF(MAX(G$2:G$301)-MIN(G$2:G$301)&lt;0.000000001,0.5,(G178-MIN(G$2:G$301))/(MAX(G$2:G$301)-MIN(G$2:G$301)))+0.000000001)</f>
        <v/>
      </c>
      <c r="O178">
        <f>IF(Datos!A178="","",IF(MAX(H$2:H$301)-MIN(H$2:H$301)&lt;0.000000001,0.5,(H178-MIN(H$2:H$301))/(MAX(H$2:H$301)-MIN(H$2:H$301)))+0.000000001)</f>
        <v/>
      </c>
      <c r="Q178">
        <f>IF(Datos!A178="","",(J178/SUM(J$2:J$301))*LN(J178/SUM(J$2:J$301)))</f>
        <v/>
      </c>
      <c r="R178">
        <f>IF(Datos!A178="","",(K178/SUM(K$2:K$301))*LN(K178/SUM(K$2:K$301)))</f>
        <v/>
      </c>
      <c r="S178">
        <f>IF(Datos!A178="","",(L178/SUM(L$2:L$301))*LN(L178/SUM(L$2:L$301)))</f>
        <v/>
      </c>
      <c r="T178">
        <f>IF(Datos!A178="","",(M178/SUM(M$2:M$301))*LN(M178/SUM(M$2:M$301)))</f>
        <v/>
      </c>
      <c r="U178">
        <f>IF(Datos!A178="","",(N178/SUM(N$2:N$301))*LN(N178/SUM(N$2:N$301)))</f>
        <v/>
      </c>
      <c r="V178">
        <f>IF(Datos!A178="","",(O178/SUM(O$2:O$301))*LN(O178/SUM(O$2:O$301)))</f>
        <v/>
      </c>
      <c r="X178">
        <f>IF(Datos!A178="","",IF(SUMSQ(C$2:C$301)=0,0,C178/SQRT(SUMSQ(C$2:C$301)))*$BE$2)</f>
        <v/>
      </c>
      <c r="Y178">
        <f>IF(Datos!A178="","",IF(SUMSQ(D$2:D$301)=0,0,D178/SQRT(SUMSQ(D$2:D$301)))*$BE$3)</f>
        <v/>
      </c>
      <c r="Z178">
        <f>IF(Datos!A178="","",IF(SUMSQ(E$2:E$301)=0,0,E178/SQRT(SUMSQ(E$2:E$301)))*$BE$4)</f>
        <v/>
      </c>
      <c r="AA178">
        <f>IF(Datos!A178="","",IF(SUMSQ(F$2:F$301)=0,0,F178/SQRT(SUMSQ(F$2:F$301)))*$BE$5)</f>
        <v/>
      </c>
      <c r="AB178">
        <f>IF(Datos!A178="","",IF(SUMSQ(G$2:G$301)=0,0,G178/SQRT(SUMSQ(G$2:G$301)))*$BE$6)</f>
        <v/>
      </c>
      <c r="AC178">
        <f>IF(Datos!A178="","",IF(SUMSQ(H$2:H$301)=0,0,H178/SQRT(SUMSQ(H$2:H$301)))*$BE$7)</f>
        <v/>
      </c>
      <c r="AE178">
        <f>IF(Datos!A178="","",SQRT(SUMXMY2(X178:AC178,$X$303:$AC$303)))</f>
        <v/>
      </c>
      <c r="AF178">
        <f>IF(Datos!A178="","",SQRT(SUMXMY2(X178:AC178,$X$304:$AC$304)))</f>
        <v/>
      </c>
      <c r="AG178" s="11">
        <f>IF(Datos!A178="","",IF(AE178+AF178&lt;0.000000001,0.5,AF178/(AE178+AF178)))</f>
        <v/>
      </c>
      <c r="AH178">
        <f>IF(Datos!A178="","",AG178*MAX(C178*D178,1))</f>
        <v/>
      </c>
      <c r="AI178">
        <f>IF(Datos!A178="","",SUMIF($AH$2:$AH$301,"&gt;="&amp;AH178,$AH$2:$AH$301)/SUM($AH$2:$AH$301))</f>
        <v/>
      </c>
      <c r="AJ178" s="12">
        <f>IF(Datos!A178="","",IF(AI178&lt;=Parametros!$B$13,"A",IF(AI178&lt;=Parametros!$B$14,"B","C")))</f>
        <v/>
      </c>
      <c r="AK178" s="13">
        <f>IF(Datos!A178="","",VLOOKUP(AJ178,Parametros!$A$8:$C$10,2,FALSE))</f>
        <v/>
      </c>
      <c r="AL178">
        <f>IF(Datos!A178="","",VLOOKUP(AJ178,Parametros!$A$8:$C$10,3,FALSE))</f>
        <v/>
      </c>
      <c r="AM178">
        <f>IF(Datos!A178="","",NORMSINV(AK178))</f>
        <v/>
      </c>
      <c r="AN178">
        <f>IF(Datos!A178="","",D178/Parametros!$B$4)</f>
        <v/>
      </c>
      <c r="AO178">
        <f>IF(Datos!A178="","",MAX(0,ROUNDUP(AM178*(AN178*Parametros!$B$3)*SQRT((AL178+E178)),0)))</f>
        <v/>
      </c>
      <c r="AP178">
        <f>IF(Datos!A178="","",MAX(1,ROUNDUP(AN178*(AL178+E178)+AM178*(AN178*Parametros!$B$3)*SQRT((AL178+E178)),0)))</f>
        <v/>
      </c>
      <c r="AQ178">
        <f>IF(Datos!A178="","",IF(Datos!J178="","",Datos!J178))</f>
        <v/>
      </c>
      <c r="AR178">
        <f>IF(OR(Datos!A178="",AQ178=""),"",MAX(0,AQ178-AP178))</f>
        <v/>
      </c>
      <c r="AS178" s="10">
        <f>IF(OR(Datos!A178="",AQ178=""),"",AR178*C178)</f>
        <v/>
      </c>
      <c r="AT178" s="12">
        <f>IF(OR(Datos!A178="",AQ178=""),"",IF(AQ178&lt;AO178,"SI",""))</f>
        <v/>
      </c>
      <c r="AU178">
        <f>IF(Datos!A178="","",IF(AT178="SI","Reponer ahora",IF(AND(AQ178&lt;&gt;"",AR178&gt;0),"Bajar "&amp;TEXT(AR178,"#,##0")&amp;" un.","En rango")))</f>
        <v/>
      </c>
    </row>
    <row r="179">
      <c r="A179">
        <f>IF(Datos!A179="","",Datos!A179)</f>
        <v/>
      </c>
      <c r="B179">
        <f>IF(Datos!A179="","",Datos!B179)</f>
        <v/>
      </c>
      <c r="C179">
        <f>IF(Datos!A179="","",IFERROR(MAX(0,N(Datos!D179)),0))</f>
        <v/>
      </c>
      <c r="D179">
        <f>IF(Datos!A179="","",IFERROR(MAX(0,N(Datos!E179)),0))</f>
        <v/>
      </c>
      <c r="E179">
        <f>IF(Datos!A179="","",IFERROR(MAX(0,N(Datos!F179)),0))</f>
        <v/>
      </c>
      <c r="F179">
        <f>IF(Datos!A179="","",IFERROR(MAX(0,N(Datos!G179)),0))</f>
        <v/>
      </c>
      <c r="G179">
        <f>IF(Datos!A179="","",IFERROR(MAX(0,N(Datos!H179)),0))</f>
        <v/>
      </c>
      <c r="H179">
        <f>IF(Datos!A179="","",IFERROR(MAX(0,N(Datos!I179)),0))</f>
        <v/>
      </c>
      <c r="J179">
        <f>IF(Datos!A179="","",IF(MAX(C$2:C$301)-MIN(C$2:C$301)&lt;0.000000001,0.5,(C179-MIN(C$2:C$301))/(MAX(C$2:C$301)-MIN(C$2:C$301)))+0.000000001)</f>
        <v/>
      </c>
      <c r="K179">
        <f>IF(Datos!A179="","",IF(MAX(D$2:D$301)-MIN(D$2:D$301)&lt;0.000000001,0.5,(D179-MIN(D$2:D$301))/(MAX(D$2:D$301)-MIN(D$2:D$301)))+0.000000001)</f>
        <v/>
      </c>
      <c r="L179">
        <f>IF(Datos!A179="","",IF(MAX(E$2:E$301)-MIN(E$2:E$301)&lt;0.000000001,0.5,(E179-MIN(E$2:E$301))/(MAX(E$2:E$301)-MIN(E$2:E$301)))+0.000000001)</f>
        <v/>
      </c>
      <c r="M179">
        <f>IF(Datos!A179="","",IF(MAX(F$2:F$301)-MIN(F$2:F$301)&lt;0.000000001,0.5,(F179-MIN(F$2:F$301))/(MAX(F$2:F$301)-MIN(F$2:F$301)))+0.000000001)</f>
        <v/>
      </c>
      <c r="N179">
        <f>IF(Datos!A179="","",IF(MAX(G$2:G$301)-MIN(G$2:G$301)&lt;0.000000001,0.5,(G179-MIN(G$2:G$301))/(MAX(G$2:G$301)-MIN(G$2:G$301)))+0.000000001)</f>
        <v/>
      </c>
      <c r="O179">
        <f>IF(Datos!A179="","",IF(MAX(H$2:H$301)-MIN(H$2:H$301)&lt;0.000000001,0.5,(H179-MIN(H$2:H$301))/(MAX(H$2:H$301)-MIN(H$2:H$301)))+0.000000001)</f>
        <v/>
      </c>
      <c r="Q179">
        <f>IF(Datos!A179="","",(J179/SUM(J$2:J$301))*LN(J179/SUM(J$2:J$301)))</f>
        <v/>
      </c>
      <c r="R179">
        <f>IF(Datos!A179="","",(K179/SUM(K$2:K$301))*LN(K179/SUM(K$2:K$301)))</f>
        <v/>
      </c>
      <c r="S179">
        <f>IF(Datos!A179="","",(L179/SUM(L$2:L$301))*LN(L179/SUM(L$2:L$301)))</f>
        <v/>
      </c>
      <c r="T179">
        <f>IF(Datos!A179="","",(M179/SUM(M$2:M$301))*LN(M179/SUM(M$2:M$301)))</f>
        <v/>
      </c>
      <c r="U179">
        <f>IF(Datos!A179="","",(N179/SUM(N$2:N$301))*LN(N179/SUM(N$2:N$301)))</f>
        <v/>
      </c>
      <c r="V179">
        <f>IF(Datos!A179="","",(O179/SUM(O$2:O$301))*LN(O179/SUM(O$2:O$301)))</f>
        <v/>
      </c>
      <c r="X179">
        <f>IF(Datos!A179="","",IF(SUMSQ(C$2:C$301)=0,0,C179/SQRT(SUMSQ(C$2:C$301)))*$BE$2)</f>
        <v/>
      </c>
      <c r="Y179">
        <f>IF(Datos!A179="","",IF(SUMSQ(D$2:D$301)=0,0,D179/SQRT(SUMSQ(D$2:D$301)))*$BE$3)</f>
        <v/>
      </c>
      <c r="Z179">
        <f>IF(Datos!A179="","",IF(SUMSQ(E$2:E$301)=0,0,E179/SQRT(SUMSQ(E$2:E$301)))*$BE$4)</f>
        <v/>
      </c>
      <c r="AA179">
        <f>IF(Datos!A179="","",IF(SUMSQ(F$2:F$301)=0,0,F179/SQRT(SUMSQ(F$2:F$301)))*$BE$5)</f>
        <v/>
      </c>
      <c r="AB179">
        <f>IF(Datos!A179="","",IF(SUMSQ(G$2:G$301)=0,0,G179/SQRT(SUMSQ(G$2:G$301)))*$BE$6)</f>
        <v/>
      </c>
      <c r="AC179">
        <f>IF(Datos!A179="","",IF(SUMSQ(H$2:H$301)=0,0,H179/SQRT(SUMSQ(H$2:H$301)))*$BE$7)</f>
        <v/>
      </c>
      <c r="AE179">
        <f>IF(Datos!A179="","",SQRT(SUMXMY2(X179:AC179,$X$303:$AC$303)))</f>
        <v/>
      </c>
      <c r="AF179">
        <f>IF(Datos!A179="","",SQRT(SUMXMY2(X179:AC179,$X$304:$AC$304)))</f>
        <v/>
      </c>
      <c r="AG179" s="11">
        <f>IF(Datos!A179="","",IF(AE179+AF179&lt;0.000000001,0.5,AF179/(AE179+AF179)))</f>
        <v/>
      </c>
      <c r="AH179">
        <f>IF(Datos!A179="","",AG179*MAX(C179*D179,1))</f>
        <v/>
      </c>
      <c r="AI179">
        <f>IF(Datos!A179="","",SUMIF($AH$2:$AH$301,"&gt;="&amp;AH179,$AH$2:$AH$301)/SUM($AH$2:$AH$301))</f>
        <v/>
      </c>
      <c r="AJ179" s="12">
        <f>IF(Datos!A179="","",IF(AI179&lt;=Parametros!$B$13,"A",IF(AI179&lt;=Parametros!$B$14,"B","C")))</f>
        <v/>
      </c>
      <c r="AK179" s="13">
        <f>IF(Datos!A179="","",VLOOKUP(AJ179,Parametros!$A$8:$C$10,2,FALSE))</f>
        <v/>
      </c>
      <c r="AL179">
        <f>IF(Datos!A179="","",VLOOKUP(AJ179,Parametros!$A$8:$C$10,3,FALSE))</f>
        <v/>
      </c>
      <c r="AM179">
        <f>IF(Datos!A179="","",NORMSINV(AK179))</f>
        <v/>
      </c>
      <c r="AN179">
        <f>IF(Datos!A179="","",D179/Parametros!$B$4)</f>
        <v/>
      </c>
      <c r="AO179">
        <f>IF(Datos!A179="","",MAX(0,ROUNDUP(AM179*(AN179*Parametros!$B$3)*SQRT((AL179+E179)),0)))</f>
        <v/>
      </c>
      <c r="AP179">
        <f>IF(Datos!A179="","",MAX(1,ROUNDUP(AN179*(AL179+E179)+AM179*(AN179*Parametros!$B$3)*SQRT((AL179+E179)),0)))</f>
        <v/>
      </c>
      <c r="AQ179">
        <f>IF(Datos!A179="","",IF(Datos!J179="","",Datos!J179))</f>
        <v/>
      </c>
      <c r="AR179">
        <f>IF(OR(Datos!A179="",AQ179=""),"",MAX(0,AQ179-AP179))</f>
        <v/>
      </c>
      <c r="AS179" s="10">
        <f>IF(OR(Datos!A179="",AQ179=""),"",AR179*C179)</f>
        <v/>
      </c>
      <c r="AT179" s="12">
        <f>IF(OR(Datos!A179="",AQ179=""),"",IF(AQ179&lt;AO179,"SI",""))</f>
        <v/>
      </c>
      <c r="AU179">
        <f>IF(Datos!A179="","",IF(AT179="SI","Reponer ahora",IF(AND(AQ179&lt;&gt;"",AR179&gt;0),"Bajar "&amp;TEXT(AR179,"#,##0")&amp;" un.","En rango")))</f>
        <v/>
      </c>
    </row>
    <row r="180">
      <c r="A180">
        <f>IF(Datos!A180="","",Datos!A180)</f>
        <v/>
      </c>
      <c r="B180">
        <f>IF(Datos!A180="","",Datos!B180)</f>
        <v/>
      </c>
      <c r="C180">
        <f>IF(Datos!A180="","",IFERROR(MAX(0,N(Datos!D180)),0))</f>
        <v/>
      </c>
      <c r="D180">
        <f>IF(Datos!A180="","",IFERROR(MAX(0,N(Datos!E180)),0))</f>
        <v/>
      </c>
      <c r="E180">
        <f>IF(Datos!A180="","",IFERROR(MAX(0,N(Datos!F180)),0))</f>
        <v/>
      </c>
      <c r="F180">
        <f>IF(Datos!A180="","",IFERROR(MAX(0,N(Datos!G180)),0))</f>
        <v/>
      </c>
      <c r="G180">
        <f>IF(Datos!A180="","",IFERROR(MAX(0,N(Datos!H180)),0))</f>
        <v/>
      </c>
      <c r="H180">
        <f>IF(Datos!A180="","",IFERROR(MAX(0,N(Datos!I180)),0))</f>
        <v/>
      </c>
      <c r="J180">
        <f>IF(Datos!A180="","",IF(MAX(C$2:C$301)-MIN(C$2:C$301)&lt;0.000000001,0.5,(C180-MIN(C$2:C$301))/(MAX(C$2:C$301)-MIN(C$2:C$301)))+0.000000001)</f>
        <v/>
      </c>
      <c r="K180">
        <f>IF(Datos!A180="","",IF(MAX(D$2:D$301)-MIN(D$2:D$301)&lt;0.000000001,0.5,(D180-MIN(D$2:D$301))/(MAX(D$2:D$301)-MIN(D$2:D$301)))+0.000000001)</f>
        <v/>
      </c>
      <c r="L180">
        <f>IF(Datos!A180="","",IF(MAX(E$2:E$301)-MIN(E$2:E$301)&lt;0.000000001,0.5,(E180-MIN(E$2:E$301))/(MAX(E$2:E$301)-MIN(E$2:E$301)))+0.000000001)</f>
        <v/>
      </c>
      <c r="M180">
        <f>IF(Datos!A180="","",IF(MAX(F$2:F$301)-MIN(F$2:F$301)&lt;0.000000001,0.5,(F180-MIN(F$2:F$301))/(MAX(F$2:F$301)-MIN(F$2:F$301)))+0.000000001)</f>
        <v/>
      </c>
      <c r="N180">
        <f>IF(Datos!A180="","",IF(MAX(G$2:G$301)-MIN(G$2:G$301)&lt;0.000000001,0.5,(G180-MIN(G$2:G$301))/(MAX(G$2:G$301)-MIN(G$2:G$301)))+0.000000001)</f>
        <v/>
      </c>
      <c r="O180">
        <f>IF(Datos!A180="","",IF(MAX(H$2:H$301)-MIN(H$2:H$301)&lt;0.000000001,0.5,(H180-MIN(H$2:H$301))/(MAX(H$2:H$301)-MIN(H$2:H$301)))+0.000000001)</f>
        <v/>
      </c>
      <c r="Q180">
        <f>IF(Datos!A180="","",(J180/SUM(J$2:J$301))*LN(J180/SUM(J$2:J$301)))</f>
        <v/>
      </c>
      <c r="R180">
        <f>IF(Datos!A180="","",(K180/SUM(K$2:K$301))*LN(K180/SUM(K$2:K$301)))</f>
        <v/>
      </c>
      <c r="S180">
        <f>IF(Datos!A180="","",(L180/SUM(L$2:L$301))*LN(L180/SUM(L$2:L$301)))</f>
        <v/>
      </c>
      <c r="T180">
        <f>IF(Datos!A180="","",(M180/SUM(M$2:M$301))*LN(M180/SUM(M$2:M$301)))</f>
        <v/>
      </c>
      <c r="U180">
        <f>IF(Datos!A180="","",(N180/SUM(N$2:N$301))*LN(N180/SUM(N$2:N$301)))</f>
        <v/>
      </c>
      <c r="V180">
        <f>IF(Datos!A180="","",(O180/SUM(O$2:O$301))*LN(O180/SUM(O$2:O$301)))</f>
        <v/>
      </c>
      <c r="X180">
        <f>IF(Datos!A180="","",IF(SUMSQ(C$2:C$301)=0,0,C180/SQRT(SUMSQ(C$2:C$301)))*$BE$2)</f>
        <v/>
      </c>
      <c r="Y180">
        <f>IF(Datos!A180="","",IF(SUMSQ(D$2:D$301)=0,0,D180/SQRT(SUMSQ(D$2:D$301)))*$BE$3)</f>
        <v/>
      </c>
      <c r="Z180">
        <f>IF(Datos!A180="","",IF(SUMSQ(E$2:E$301)=0,0,E180/SQRT(SUMSQ(E$2:E$301)))*$BE$4)</f>
        <v/>
      </c>
      <c r="AA180">
        <f>IF(Datos!A180="","",IF(SUMSQ(F$2:F$301)=0,0,F180/SQRT(SUMSQ(F$2:F$301)))*$BE$5)</f>
        <v/>
      </c>
      <c r="AB180">
        <f>IF(Datos!A180="","",IF(SUMSQ(G$2:G$301)=0,0,G180/SQRT(SUMSQ(G$2:G$301)))*$BE$6)</f>
        <v/>
      </c>
      <c r="AC180">
        <f>IF(Datos!A180="","",IF(SUMSQ(H$2:H$301)=0,0,H180/SQRT(SUMSQ(H$2:H$301)))*$BE$7)</f>
        <v/>
      </c>
      <c r="AE180">
        <f>IF(Datos!A180="","",SQRT(SUMXMY2(X180:AC180,$X$303:$AC$303)))</f>
        <v/>
      </c>
      <c r="AF180">
        <f>IF(Datos!A180="","",SQRT(SUMXMY2(X180:AC180,$X$304:$AC$304)))</f>
        <v/>
      </c>
      <c r="AG180" s="11">
        <f>IF(Datos!A180="","",IF(AE180+AF180&lt;0.000000001,0.5,AF180/(AE180+AF180)))</f>
        <v/>
      </c>
      <c r="AH180">
        <f>IF(Datos!A180="","",AG180*MAX(C180*D180,1))</f>
        <v/>
      </c>
      <c r="AI180">
        <f>IF(Datos!A180="","",SUMIF($AH$2:$AH$301,"&gt;="&amp;AH180,$AH$2:$AH$301)/SUM($AH$2:$AH$301))</f>
        <v/>
      </c>
      <c r="AJ180" s="12">
        <f>IF(Datos!A180="","",IF(AI180&lt;=Parametros!$B$13,"A",IF(AI180&lt;=Parametros!$B$14,"B","C")))</f>
        <v/>
      </c>
      <c r="AK180" s="13">
        <f>IF(Datos!A180="","",VLOOKUP(AJ180,Parametros!$A$8:$C$10,2,FALSE))</f>
        <v/>
      </c>
      <c r="AL180">
        <f>IF(Datos!A180="","",VLOOKUP(AJ180,Parametros!$A$8:$C$10,3,FALSE))</f>
        <v/>
      </c>
      <c r="AM180">
        <f>IF(Datos!A180="","",NORMSINV(AK180))</f>
        <v/>
      </c>
      <c r="AN180">
        <f>IF(Datos!A180="","",D180/Parametros!$B$4)</f>
        <v/>
      </c>
      <c r="AO180">
        <f>IF(Datos!A180="","",MAX(0,ROUNDUP(AM180*(AN180*Parametros!$B$3)*SQRT((AL180+E180)),0)))</f>
        <v/>
      </c>
      <c r="AP180">
        <f>IF(Datos!A180="","",MAX(1,ROUNDUP(AN180*(AL180+E180)+AM180*(AN180*Parametros!$B$3)*SQRT((AL180+E180)),0)))</f>
        <v/>
      </c>
      <c r="AQ180">
        <f>IF(Datos!A180="","",IF(Datos!J180="","",Datos!J180))</f>
        <v/>
      </c>
      <c r="AR180">
        <f>IF(OR(Datos!A180="",AQ180=""),"",MAX(0,AQ180-AP180))</f>
        <v/>
      </c>
      <c r="AS180" s="10">
        <f>IF(OR(Datos!A180="",AQ180=""),"",AR180*C180)</f>
        <v/>
      </c>
      <c r="AT180" s="12">
        <f>IF(OR(Datos!A180="",AQ180=""),"",IF(AQ180&lt;AO180,"SI",""))</f>
        <v/>
      </c>
      <c r="AU180">
        <f>IF(Datos!A180="","",IF(AT180="SI","Reponer ahora",IF(AND(AQ180&lt;&gt;"",AR180&gt;0),"Bajar "&amp;TEXT(AR180,"#,##0")&amp;" un.","En rango")))</f>
        <v/>
      </c>
    </row>
    <row r="181">
      <c r="A181">
        <f>IF(Datos!A181="","",Datos!A181)</f>
        <v/>
      </c>
      <c r="B181">
        <f>IF(Datos!A181="","",Datos!B181)</f>
        <v/>
      </c>
      <c r="C181">
        <f>IF(Datos!A181="","",IFERROR(MAX(0,N(Datos!D181)),0))</f>
        <v/>
      </c>
      <c r="D181">
        <f>IF(Datos!A181="","",IFERROR(MAX(0,N(Datos!E181)),0))</f>
        <v/>
      </c>
      <c r="E181">
        <f>IF(Datos!A181="","",IFERROR(MAX(0,N(Datos!F181)),0))</f>
        <v/>
      </c>
      <c r="F181">
        <f>IF(Datos!A181="","",IFERROR(MAX(0,N(Datos!G181)),0))</f>
        <v/>
      </c>
      <c r="G181">
        <f>IF(Datos!A181="","",IFERROR(MAX(0,N(Datos!H181)),0))</f>
        <v/>
      </c>
      <c r="H181">
        <f>IF(Datos!A181="","",IFERROR(MAX(0,N(Datos!I181)),0))</f>
        <v/>
      </c>
      <c r="J181">
        <f>IF(Datos!A181="","",IF(MAX(C$2:C$301)-MIN(C$2:C$301)&lt;0.000000001,0.5,(C181-MIN(C$2:C$301))/(MAX(C$2:C$301)-MIN(C$2:C$301)))+0.000000001)</f>
        <v/>
      </c>
      <c r="K181">
        <f>IF(Datos!A181="","",IF(MAX(D$2:D$301)-MIN(D$2:D$301)&lt;0.000000001,0.5,(D181-MIN(D$2:D$301))/(MAX(D$2:D$301)-MIN(D$2:D$301)))+0.000000001)</f>
        <v/>
      </c>
      <c r="L181">
        <f>IF(Datos!A181="","",IF(MAX(E$2:E$301)-MIN(E$2:E$301)&lt;0.000000001,0.5,(E181-MIN(E$2:E$301))/(MAX(E$2:E$301)-MIN(E$2:E$301)))+0.000000001)</f>
        <v/>
      </c>
      <c r="M181">
        <f>IF(Datos!A181="","",IF(MAX(F$2:F$301)-MIN(F$2:F$301)&lt;0.000000001,0.5,(F181-MIN(F$2:F$301))/(MAX(F$2:F$301)-MIN(F$2:F$301)))+0.000000001)</f>
        <v/>
      </c>
      <c r="N181">
        <f>IF(Datos!A181="","",IF(MAX(G$2:G$301)-MIN(G$2:G$301)&lt;0.000000001,0.5,(G181-MIN(G$2:G$301))/(MAX(G$2:G$301)-MIN(G$2:G$301)))+0.000000001)</f>
        <v/>
      </c>
      <c r="O181">
        <f>IF(Datos!A181="","",IF(MAX(H$2:H$301)-MIN(H$2:H$301)&lt;0.000000001,0.5,(H181-MIN(H$2:H$301))/(MAX(H$2:H$301)-MIN(H$2:H$301)))+0.000000001)</f>
        <v/>
      </c>
      <c r="Q181">
        <f>IF(Datos!A181="","",(J181/SUM(J$2:J$301))*LN(J181/SUM(J$2:J$301)))</f>
        <v/>
      </c>
      <c r="R181">
        <f>IF(Datos!A181="","",(K181/SUM(K$2:K$301))*LN(K181/SUM(K$2:K$301)))</f>
        <v/>
      </c>
      <c r="S181">
        <f>IF(Datos!A181="","",(L181/SUM(L$2:L$301))*LN(L181/SUM(L$2:L$301)))</f>
        <v/>
      </c>
      <c r="T181">
        <f>IF(Datos!A181="","",(M181/SUM(M$2:M$301))*LN(M181/SUM(M$2:M$301)))</f>
        <v/>
      </c>
      <c r="U181">
        <f>IF(Datos!A181="","",(N181/SUM(N$2:N$301))*LN(N181/SUM(N$2:N$301)))</f>
        <v/>
      </c>
      <c r="V181">
        <f>IF(Datos!A181="","",(O181/SUM(O$2:O$301))*LN(O181/SUM(O$2:O$301)))</f>
        <v/>
      </c>
      <c r="X181">
        <f>IF(Datos!A181="","",IF(SUMSQ(C$2:C$301)=0,0,C181/SQRT(SUMSQ(C$2:C$301)))*$BE$2)</f>
        <v/>
      </c>
      <c r="Y181">
        <f>IF(Datos!A181="","",IF(SUMSQ(D$2:D$301)=0,0,D181/SQRT(SUMSQ(D$2:D$301)))*$BE$3)</f>
        <v/>
      </c>
      <c r="Z181">
        <f>IF(Datos!A181="","",IF(SUMSQ(E$2:E$301)=0,0,E181/SQRT(SUMSQ(E$2:E$301)))*$BE$4)</f>
        <v/>
      </c>
      <c r="AA181">
        <f>IF(Datos!A181="","",IF(SUMSQ(F$2:F$301)=0,0,F181/SQRT(SUMSQ(F$2:F$301)))*$BE$5)</f>
        <v/>
      </c>
      <c r="AB181">
        <f>IF(Datos!A181="","",IF(SUMSQ(G$2:G$301)=0,0,G181/SQRT(SUMSQ(G$2:G$301)))*$BE$6)</f>
        <v/>
      </c>
      <c r="AC181">
        <f>IF(Datos!A181="","",IF(SUMSQ(H$2:H$301)=0,0,H181/SQRT(SUMSQ(H$2:H$301)))*$BE$7)</f>
        <v/>
      </c>
      <c r="AE181">
        <f>IF(Datos!A181="","",SQRT(SUMXMY2(X181:AC181,$X$303:$AC$303)))</f>
        <v/>
      </c>
      <c r="AF181">
        <f>IF(Datos!A181="","",SQRT(SUMXMY2(X181:AC181,$X$304:$AC$304)))</f>
        <v/>
      </c>
      <c r="AG181" s="11">
        <f>IF(Datos!A181="","",IF(AE181+AF181&lt;0.000000001,0.5,AF181/(AE181+AF181)))</f>
        <v/>
      </c>
      <c r="AH181">
        <f>IF(Datos!A181="","",AG181*MAX(C181*D181,1))</f>
        <v/>
      </c>
      <c r="AI181">
        <f>IF(Datos!A181="","",SUMIF($AH$2:$AH$301,"&gt;="&amp;AH181,$AH$2:$AH$301)/SUM($AH$2:$AH$301))</f>
        <v/>
      </c>
      <c r="AJ181" s="12">
        <f>IF(Datos!A181="","",IF(AI181&lt;=Parametros!$B$13,"A",IF(AI181&lt;=Parametros!$B$14,"B","C")))</f>
        <v/>
      </c>
      <c r="AK181" s="13">
        <f>IF(Datos!A181="","",VLOOKUP(AJ181,Parametros!$A$8:$C$10,2,FALSE))</f>
        <v/>
      </c>
      <c r="AL181">
        <f>IF(Datos!A181="","",VLOOKUP(AJ181,Parametros!$A$8:$C$10,3,FALSE))</f>
        <v/>
      </c>
      <c r="AM181">
        <f>IF(Datos!A181="","",NORMSINV(AK181))</f>
        <v/>
      </c>
      <c r="AN181">
        <f>IF(Datos!A181="","",D181/Parametros!$B$4)</f>
        <v/>
      </c>
      <c r="AO181">
        <f>IF(Datos!A181="","",MAX(0,ROUNDUP(AM181*(AN181*Parametros!$B$3)*SQRT((AL181+E181)),0)))</f>
        <v/>
      </c>
      <c r="AP181">
        <f>IF(Datos!A181="","",MAX(1,ROUNDUP(AN181*(AL181+E181)+AM181*(AN181*Parametros!$B$3)*SQRT((AL181+E181)),0)))</f>
        <v/>
      </c>
      <c r="AQ181">
        <f>IF(Datos!A181="","",IF(Datos!J181="","",Datos!J181))</f>
        <v/>
      </c>
      <c r="AR181">
        <f>IF(OR(Datos!A181="",AQ181=""),"",MAX(0,AQ181-AP181))</f>
        <v/>
      </c>
      <c r="AS181" s="10">
        <f>IF(OR(Datos!A181="",AQ181=""),"",AR181*C181)</f>
        <v/>
      </c>
      <c r="AT181" s="12">
        <f>IF(OR(Datos!A181="",AQ181=""),"",IF(AQ181&lt;AO181,"SI",""))</f>
        <v/>
      </c>
      <c r="AU181">
        <f>IF(Datos!A181="","",IF(AT181="SI","Reponer ahora",IF(AND(AQ181&lt;&gt;"",AR181&gt;0),"Bajar "&amp;TEXT(AR181,"#,##0")&amp;" un.","En rango")))</f>
        <v/>
      </c>
    </row>
    <row r="182">
      <c r="A182">
        <f>IF(Datos!A182="","",Datos!A182)</f>
        <v/>
      </c>
      <c r="B182">
        <f>IF(Datos!A182="","",Datos!B182)</f>
        <v/>
      </c>
      <c r="C182">
        <f>IF(Datos!A182="","",IFERROR(MAX(0,N(Datos!D182)),0))</f>
        <v/>
      </c>
      <c r="D182">
        <f>IF(Datos!A182="","",IFERROR(MAX(0,N(Datos!E182)),0))</f>
        <v/>
      </c>
      <c r="E182">
        <f>IF(Datos!A182="","",IFERROR(MAX(0,N(Datos!F182)),0))</f>
        <v/>
      </c>
      <c r="F182">
        <f>IF(Datos!A182="","",IFERROR(MAX(0,N(Datos!G182)),0))</f>
        <v/>
      </c>
      <c r="G182">
        <f>IF(Datos!A182="","",IFERROR(MAX(0,N(Datos!H182)),0))</f>
        <v/>
      </c>
      <c r="H182">
        <f>IF(Datos!A182="","",IFERROR(MAX(0,N(Datos!I182)),0))</f>
        <v/>
      </c>
      <c r="J182">
        <f>IF(Datos!A182="","",IF(MAX(C$2:C$301)-MIN(C$2:C$301)&lt;0.000000001,0.5,(C182-MIN(C$2:C$301))/(MAX(C$2:C$301)-MIN(C$2:C$301)))+0.000000001)</f>
        <v/>
      </c>
      <c r="K182">
        <f>IF(Datos!A182="","",IF(MAX(D$2:D$301)-MIN(D$2:D$301)&lt;0.000000001,0.5,(D182-MIN(D$2:D$301))/(MAX(D$2:D$301)-MIN(D$2:D$301)))+0.000000001)</f>
        <v/>
      </c>
      <c r="L182">
        <f>IF(Datos!A182="","",IF(MAX(E$2:E$301)-MIN(E$2:E$301)&lt;0.000000001,0.5,(E182-MIN(E$2:E$301))/(MAX(E$2:E$301)-MIN(E$2:E$301)))+0.000000001)</f>
        <v/>
      </c>
      <c r="M182">
        <f>IF(Datos!A182="","",IF(MAX(F$2:F$301)-MIN(F$2:F$301)&lt;0.000000001,0.5,(F182-MIN(F$2:F$301))/(MAX(F$2:F$301)-MIN(F$2:F$301)))+0.000000001)</f>
        <v/>
      </c>
      <c r="N182">
        <f>IF(Datos!A182="","",IF(MAX(G$2:G$301)-MIN(G$2:G$301)&lt;0.000000001,0.5,(G182-MIN(G$2:G$301))/(MAX(G$2:G$301)-MIN(G$2:G$301)))+0.000000001)</f>
        <v/>
      </c>
      <c r="O182">
        <f>IF(Datos!A182="","",IF(MAX(H$2:H$301)-MIN(H$2:H$301)&lt;0.000000001,0.5,(H182-MIN(H$2:H$301))/(MAX(H$2:H$301)-MIN(H$2:H$301)))+0.000000001)</f>
        <v/>
      </c>
      <c r="Q182">
        <f>IF(Datos!A182="","",(J182/SUM(J$2:J$301))*LN(J182/SUM(J$2:J$301)))</f>
        <v/>
      </c>
      <c r="R182">
        <f>IF(Datos!A182="","",(K182/SUM(K$2:K$301))*LN(K182/SUM(K$2:K$301)))</f>
        <v/>
      </c>
      <c r="S182">
        <f>IF(Datos!A182="","",(L182/SUM(L$2:L$301))*LN(L182/SUM(L$2:L$301)))</f>
        <v/>
      </c>
      <c r="T182">
        <f>IF(Datos!A182="","",(M182/SUM(M$2:M$301))*LN(M182/SUM(M$2:M$301)))</f>
        <v/>
      </c>
      <c r="U182">
        <f>IF(Datos!A182="","",(N182/SUM(N$2:N$301))*LN(N182/SUM(N$2:N$301)))</f>
        <v/>
      </c>
      <c r="V182">
        <f>IF(Datos!A182="","",(O182/SUM(O$2:O$301))*LN(O182/SUM(O$2:O$301)))</f>
        <v/>
      </c>
      <c r="X182">
        <f>IF(Datos!A182="","",IF(SUMSQ(C$2:C$301)=0,0,C182/SQRT(SUMSQ(C$2:C$301)))*$BE$2)</f>
        <v/>
      </c>
      <c r="Y182">
        <f>IF(Datos!A182="","",IF(SUMSQ(D$2:D$301)=0,0,D182/SQRT(SUMSQ(D$2:D$301)))*$BE$3)</f>
        <v/>
      </c>
      <c r="Z182">
        <f>IF(Datos!A182="","",IF(SUMSQ(E$2:E$301)=0,0,E182/SQRT(SUMSQ(E$2:E$301)))*$BE$4)</f>
        <v/>
      </c>
      <c r="AA182">
        <f>IF(Datos!A182="","",IF(SUMSQ(F$2:F$301)=0,0,F182/SQRT(SUMSQ(F$2:F$301)))*$BE$5)</f>
        <v/>
      </c>
      <c r="AB182">
        <f>IF(Datos!A182="","",IF(SUMSQ(G$2:G$301)=0,0,G182/SQRT(SUMSQ(G$2:G$301)))*$BE$6)</f>
        <v/>
      </c>
      <c r="AC182">
        <f>IF(Datos!A182="","",IF(SUMSQ(H$2:H$301)=0,0,H182/SQRT(SUMSQ(H$2:H$301)))*$BE$7)</f>
        <v/>
      </c>
      <c r="AE182">
        <f>IF(Datos!A182="","",SQRT(SUMXMY2(X182:AC182,$X$303:$AC$303)))</f>
        <v/>
      </c>
      <c r="AF182">
        <f>IF(Datos!A182="","",SQRT(SUMXMY2(X182:AC182,$X$304:$AC$304)))</f>
        <v/>
      </c>
      <c r="AG182" s="11">
        <f>IF(Datos!A182="","",IF(AE182+AF182&lt;0.000000001,0.5,AF182/(AE182+AF182)))</f>
        <v/>
      </c>
      <c r="AH182">
        <f>IF(Datos!A182="","",AG182*MAX(C182*D182,1))</f>
        <v/>
      </c>
      <c r="AI182">
        <f>IF(Datos!A182="","",SUMIF($AH$2:$AH$301,"&gt;="&amp;AH182,$AH$2:$AH$301)/SUM($AH$2:$AH$301))</f>
        <v/>
      </c>
      <c r="AJ182" s="12">
        <f>IF(Datos!A182="","",IF(AI182&lt;=Parametros!$B$13,"A",IF(AI182&lt;=Parametros!$B$14,"B","C")))</f>
        <v/>
      </c>
      <c r="AK182" s="13">
        <f>IF(Datos!A182="","",VLOOKUP(AJ182,Parametros!$A$8:$C$10,2,FALSE))</f>
        <v/>
      </c>
      <c r="AL182">
        <f>IF(Datos!A182="","",VLOOKUP(AJ182,Parametros!$A$8:$C$10,3,FALSE))</f>
        <v/>
      </c>
      <c r="AM182">
        <f>IF(Datos!A182="","",NORMSINV(AK182))</f>
        <v/>
      </c>
      <c r="AN182">
        <f>IF(Datos!A182="","",D182/Parametros!$B$4)</f>
        <v/>
      </c>
      <c r="AO182">
        <f>IF(Datos!A182="","",MAX(0,ROUNDUP(AM182*(AN182*Parametros!$B$3)*SQRT((AL182+E182)),0)))</f>
        <v/>
      </c>
      <c r="AP182">
        <f>IF(Datos!A182="","",MAX(1,ROUNDUP(AN182*(AL182+E182)+AM182*(AN182*Parametros!$B$3)*SQRT((AL182+E182)),0)))</f>
        <v/>
      </c>
      <c r="AQ182">
        <f>IF(Datos!A182="","",IF(Datos!J182="","",Datos!J182))</f>
        <v/>
      </c>
      <c r="AR182">
        <f>IF(OR(Datos!A182="",AQ182=""),"",MAX(0,AQ182-AP182))</f>
        <v/>
      </c>
      <c r="AS182" s="10">
        <f>IF(OR(Datos!A182="",AQ182=""),"",AR182*C182)</f>
        <v/>
      </c>
      <c r="AT182" s="12">
        <f>IF(OR(Datos!A182="",AQ182=""),"",IF(AQ182&lt;AO182,"SI",""))</f>
        <v/>
      </c>
      <c r="AU182">
        <f>IF(Datos!A182="","",IF(AT182="SI","Reponer ahora",IF(AND(AQ182&lt;&gt;"",AR182&gt;0),"Bajar "&amp;TEXT(AR182,"#,##0")&amp;" un.","En rango")))</f>
        <v/>
      </c>
    </row>
    <row r="183">
      <c r="A183">
        <f>IF(Datos!A183="","",Datos!A183)</f>
        <v/>
      </c>
      <c r="B183">
        <f>IF(Datos!A183="","",Datos!B183)</f>
        <v/>
      </c>
      <c r="C183">
        <f>IF(Datos!A183="","",IFERROR(MAX(0,N(Datos!D183)),0))</f>
        <v/>
      </c>
      <c r="D183">
        <f>IF(Datos!A183="","",IFERROR(MAX(0,N(Datos!E183)),0))</f>
        <v/>
      </c>
      <c r="E183">
        <f>IF(Datos!A183="","",IFERROR(MAX(0,N(Datos!F183)),0))</f>
        <v/>
      </c>
      <c r="F183">
        <f>IF(Datos!A183="","",IFERROR(MAX(0,N(Datos!G183)),0))</f>
        <v/>
      </c>
      <c r="G183">
        <f>IF(Datos!A183="","",IFERROR(MAX(0,N(Datos!H183)),0))</f>
        <v/>
      </c>
      <c r="H183">
        <f>IF(Datos!A183="","",IFERROR(MAX(0,N(Datos!I183)),0))</f>
        <v/>
      </c>
      <c r="J183">
        <f>IF(Datos!A183="","",IF(MAX(C$2:C$301)-MIN(C$2:C$301)&lt;0.000000001,0.5,(C183-MIN(C$2:C$301))/(MAX(C$2:C$301)-MIN(C$2:C$301)))+0.000000001)</f>
        <v/>
      </c>
      <c r="K183">
        <f>IF(Datos!A183="","",IF(MAX(D$2:D$301)-MIN(D$2:D$301)&lt;0.000000001,0.5,(D183-MIN(D$2:D$301))/(MAX(D$2:D$301)-MIN(D$2:D$301)))+0.000000001)</f>
        <v/>
      </c>
      <c r="L183">
        <f>IF(Datos!A183="","",IF(MAX(E$2:E$301)-MIN(E$2:E$301)&lt;0.000000001,0.5,(E183-MIN(E$2:E$301))/(MAX(E$2:E$301)-MIN(E$2:E$301)))+0.000000001)</f>
        <v/>
      </c>
      <c r="M183">
        <f>IF(Datos!A183="","",IF(MAX(F$2:F$301)-MIN(F$2:F$301)&lt;0.000000001,0.5,(F183-MIN(F$2:F$301))/(MAX(F$2:F$301)-MIN(F$2:F$301)))+0.000000001)</f>
        <v/>
      </c>
      <c r="N183">
        <f>IF(Datos!A183="","",IF(MAX(G$2:G$301)-MIN(G$2:G$301)&lt;0.000000001,0.5,(G183-MIN(G$2:G$301))/(MAX(G$2:G$301)-MIN(G$2:G$301)))+0.000000001)</f>
        <v/>
      </c>
      <c r="O183">
        <f>IF(Datos!A183="","",IF(MAX(H$2:H$301)-MIN(H$2:H$301)&lt;0.000000001,0.5,(H183-MIN(H$2:H$301))/(MAX(H$2:H$301)-MIN(H$2:H$301)))+0.000000001)</f>
        <v/>
      </c>
      <c r="Q183">
        <f>IF(Datos!A183="","",(J183/SUM(J$2:J$301))*LN(J183/SUM(J$2:J$301)))</f>
        <v/>
      </c>
      <c r="R183">
        <f>IF(Datos!A183="","",(K183/SUM(K$2:K$301))*LN(K183/SUM(K$2:K$301)))</f>
        <v/>
      </c>
      <c r="S183">
        <f>IF(Datos!A183="","",(L183/SUM(L$2:L$301))*LN(L183/SUM(L$2:L$301)))</f>
        <v/>
      </c>
      <c r="T183">
        <f>IF(Datos!A183="","",(M183/SUM(M$2:M$301))*LN(M183/SUM(M$2:M$301)))</f>
        <v/>
      </c>
      <c r="U183">
        <f>IF(Datos!A183="","",(N183/SUM(N$2:N$301))*LN(N183/SUM(N$2:N$301)))</f>
        <v/>
      </c>
      <c r="V183">
        <f>IF(Datos!A183="","",(O183/SUM(O$2:O$301))*LN(O183/SUM(O$2:O$301)))</f>
        <v/>
      </c>
      <c r="X183">
        <f>IF(Datos!A183="","",IF(SUMSQ(C$2:C$301)=0,0,C183/SQRT(SUMSQ(C$2:C$301)))*$BE$2)</f>
        <v/>
      </c>
      <c r="Y183">
        <f>IF(Datos!A183="","",IF(SUMSQ(D$2:D$301)=0,0,D183/SQRT(SUMSQ(D$2:D$301)))*$BE$3)</f>
        <v/>
      </c>
      <c r="Z183">
        <f>IF(Datos!A183="","",IF(SUMSQ(E$2:E$301)=0,0,E183/SQRT(SUMSQ(E$2:E$301)))*$BE$4)</f>
        <v/>
      </c>
      <c r="AA183">
        <f>IF(Datos!A183="","",IF(SUMSQ(F$2:F$301)=0,0,F183/SQRT(SUMSQ(F$2:F$301)))*$BE$5)</f>
        <v/>
      </c>
      <c r="AB183">
        <f>IF(Datos!A183="","",IF(SUMSQ(G$2:G$301)=0,0,G183/SQRT(SUMSQ(G$2:G$301)))*$BE$6)</f>
        <v/>
      </c>
      <c r="AC183">
        <f>IF(Datos!A183="","",IF(SUMSQ(H$2:H$301)=0,0,H183/SQRT(SUMSQ(H$2:H$301)))*$BE$7)</f>
        <v/>
      </c>
      <c r="AE183">
        <f>IF(Datos!A183="","",SQRT(SUMXMY2(X183:AC183,$X$303:$AC$303)))</f>
        <v/>
      </c>
      <c r="AF183">
        <f>IF(Datos!A183="","",SQRT(SUMXMY2(X183:AC183,$X$304:$AC$304)))</f>
        <v/>
      </c>
      <c r="AG183" s="11">
        <f>IF(Datos!A183="","",IF(AE183+AF183&lt;0.000000001,0.5,AF183/(AE183+AF183)))</f>
        <v/>
      </c>
      <c r="AH183">
        <f>IF(Datos!A183="","",AG183*MAX(C183*D183,1))</f>
        <v/>
      </c>
      <c r="AI183">
        <f>IF(Datos!A183="","",SUMIF($AH$2:$AH$301,"&gt;="&amp;AH183,$AH$2:$AH$301)/SUM($AH$2:$AH$301))</f>
        <v/>
      </c>
      <c r="AJ183" s="12">
        <f>IF(Datos!A183="","",IF(AI183&lt;=Parametros!$B$13,"A",IF(AI183&lt;=Parametros!$B$14,"B","C")))</f>
        <v/>
      </c>
      <c r="AK183" s="13">
        <f>IF(Datos!A183="","",VLOOKUP(AJ183,Parametros!$A$8:$C$10,2,FALSE))</f>
        <v/>
      </c>
      <c r="AL183">
        <f>IF(Datos!A183="","",VLOOKUP(AJ183,Parametros!$A$8:$C$10,3,FALSE))</f>
        <v/>
      </c>
      <c r="AM183">
        <f>IF(Datos!A183="","",NORMSINV(AK183))</f>
        <v/>
      </c>
      <c r="AN183">
        <f>IF(Datos!A183="","",D183/Parametros!$B$4)</f>
        <v/>
      </c>
      <c r="AO183">
        <f>IF(Datos!A183="","",MAX(0,ROUNDUP(AM183*(AN183*Parametros!$B$3)*SQRT((AL183+E183)),0)))</f>
        <v/>
      </c>
      <c r="AP183">
        <f>IF(Datos!A183="","",MAX(1,ROUNDUP(AN183*(AL183+E183)+AM183*(AN183*Parametros!$B$3)*SQRT((AL183+E183)),0)))</f>
        <v/>
      </c>
      <c r="AQ183">
        <f>IF(Datos!A183="","",IF(Datos!J183="","",Datos!J183))</f>
        <v/>
      </c>
      <c r="AR183">
        <f>IF(OR(Datos!A183="",AQ183=""),"",MAX(0,AQ183-AP183))</f>
        <v/>
      </c>
      <c r="AS183" s="10">
        <f>IF(OR(Datos!A183="",AQ183=""),"",AR183*C183)</f>
        <v/>
      </c>
      <c r="AT183" s="12">
        <f>IF(OR(Datos!A183="",AQ183=""),"",IF(AQ183&lt;AO183,"SI",""))</f>
        <v/>
      </c>
      <c r="AU183">
        <f>IF(Datos!A183="","",IF(AT183="SI","Reponer ahora",IF(AND(AQ183&lt;&gt;"",AR183&gt;0),"Bajar "&amp;TEXT(AR183,"#,##0")&amp;" un.","En rango")))</f>
        <v/>
      </c>
    </row>
    <row r="184">
      <c r="A184">
        <f>IF(Datos!A184="","",Datos!A184)</f>
        <v/>
      </c>
      <c r="B184">
        <f>IF(Datos!A184="","",Datos!B184)</f>
        <v/>
      </c>
      <c r="C184">
        <f>IF(Datos!A184="","",IFERROR(MAX(0,N(Datos!D184)),0))</f>
        <v/>
      </c>
      <c r="D184">
        <f>IF(Datos!A184="","",IFERROR(MAX(0,N(Datos!E184)),0))</f>
        <v/>
      </c>
      <c r="E184">
        <f>IF(Datos!A184="","",IFERROR(MAX(0,N(Datos!F184)),0))</f>
        <v/>
      </c>
      <c r="F184">
        <f>IF(Datos!A184="","",IFERROR(MAX(0,N(Datos!G184)),0))</f>
        <v/>
      </c>
      <c r="G184">
        <f>IF(Datos!A184="","",IFERROR(MAX(0,N(Datos!H184)),0))</f>
        <v/>
      </c>
      <c r="H184">
        <f>IF(Datos!A184="","",IFERROR(MAX(0,N(Datos!I184)),0))</f>
        <v/>
      </c>
      <c r="J184">
        <f>IF(Datos!A184="","",IF(MAX(C$2:C$301)-MIN(C$2:C$301)&lt;0.000000001,0.5,(C184-MIN(C$2:C$301))/(MAX(C$2:C$301)-MIN(C$2:C$301)))+0.000000001)</f>
        <v/>
      </c>
      <c r="K184">
        <f>IF(Datos!A184="","",IF(MAX(D$2:D$301)-MIN(D$2:D$301)&lt;0.000000001,0.5,(D184-MIN(D$2:D$301))/(MAX(D$2:D$301)-MIN(D$2:D$301)))+0.000000001)</f>
        <v/>
      </c>
      <c r="L184">
        <f>IF(Datos!A184="","",IF(MAX(E$2:E$301)-MIN(E$2:E$301)&lt;0.000000001,0.5,(E184-MIN(E$2:E$301))/(MAX(E$2:E$301)-MIN(E$2:E$301)))+0.000000001)</f>
        <v/>
      </c>
      <c r="M184">
        <f>IF(Datos!A184="","",IF(MAX(F$2:F$301)-MIN(F$2:F$301)&lt;0.000000001,0.5,(F184-MIN(F$2:F$301))/(MAX(F$2:F$301)-MIN(F$2:F$301)))+0.000000001)</f>
        <v/>
      </c>
      <c r="N184">
        <f>IF(Datos!A184="","",IF(MAX(G$2:G$301)-MIN(G$2:G$301)&lt;0.000000001,0.5,(G184-MIN(G$2:G$301))/(MAX(G$2:G$301)-MIN(G$2:G$301)))+0.000000001)</f>
        <v/>
      </c>
      <c r="O184">
        <f>IF(Datos!A184="","",IF(MAX(H$2:H$301)-MIN(H$2:H$301)&lt;0.000000001,0.5,(H184-MIN(H$2:H$301))/(MAX(H$2:H$301)-MIN(H$2:H$301)))+0.000000001)</f>
        <v/>
      </c>
      <c r="Q184">
        <f>IF(Datos!A184="","",(J184/SUM(J$2:J$301))*LN(J184/SUM(J$2:J$301)))</f>
        <v/>
      </c>
      <c r="R184">
        <f>IF(Datos!A184="","",(K184/SUM(K$2:K$301))*LN(K184/SUM(K$2:K$301)))</f>
        <v/>
      </c>
      <c r="S184">
        <f>IF(Datos!A184="","",(L184/SUM(L$2:L$301))*LN(L184/SUM(L$2:L$301)))</f>
        <v/>
      </c>
      <c r="T184">
        <f>IF(Datos!A184="","",(M184/SUM(M$2:M$301))*LN(M184/SUM(M$2:M$301)))</f>
        <v/>
      </c>
      <c r="U184">
        <f>IF(Datos!A184="","",(N184/SUM(N$2:N$301))*LN(N184/SUM(N$2:N$301)))</f>
        <v/>
      </c>
      <c r="V184">
        <f>IF(Datos!A184="","",(O184/SUM(O$2:O$301))*LN(O184/SUM(O$2:O$301)))</f>
        <v/>
      </c>
      <c r="X184">
        <f>IF(Datos!A184="","",IF(SUMSQ(C$2:C$301)=0,0,C184/SQRT(SUMSQ(C$2:C$301)))*$BE$2)</f>
        <v/>
      </c>
      <c r="Y184">
        <f>IF(Datos!A184="","",IF(SUMSQ(D$2:D$301)=0,0,D184/SQRT(SUMSQ(D$2:D$301)))*$BE$3)</f>
        <v/>
      </c>
      <c r="Z184">
        <f>IF(Datos!A184="","",IF(SUMSQ(E$2:E$301)=0,0,E184/SQRT(SUMSQ(E$2:E$301)))*$BE$4)</f>
        <v/>
      </c>
      <c r="AA184">
        <f>IF(Datos!A184="","",IF(SUMSQ(F$2:F$301)=0,0,F184/SQRT(SUMSQ(F$2:F$301)))*$BE$5)</f>
        <v/>
      </c>
      <c r="AB184">
        <f>IF(Datos!A184="","",IF(SUMSQ(G$2:G$301)=0,0,G184/SQRT(SUMSQ(G$2:G$301)))*$BE$6)</f>
        <v/>
      </c>
      <c r="AC184">
        <f>IF(Datos!A184="","",IF(SUMSQ(H$2:H$301)=0,0,H184/SQRT(SUMSQ(H$2:H$301)))*$BE$7)</f>
        <v/>
      </c>
      <c r="AE184">
        <f>IF(Datos!A184="","",SQRT(SUMXMY2(X184:AC184,$X$303:$AC$303)))</f>
        <v/>
      </c>
      <c r="AF184">
        <f>IF(Datos!A184="","",SQRT(SUMXMY2(X184:AC184,$X$304:$AC$304)))</f>
        <v/>
      </c>
      <c r="AG184" s="11">
        <f>IF(Datos!A184="","",IF(AE184+AF184&lt;0.000000001,0.5,AF184/(AE184+AF184)))</f>
        <v/>
      </c>
      <c r="AH184">
        <f>IF(Datos!A184="","",AG184*MAX(C184*D184,1))</f>
        <v/>
      </c>
      <c r="AI184">
        <f>IF(Datos!A184="","",SUMIF($AH$2:$AH$301,"&gt;="&amp;AH184,$AH$2:$AH$301)/SUM($AH$2:$AH$301))</f>
        <v/>
      </c>
      <c r="AJ184" s="12">
        <f>IF(Datos!A184="","",IF(AI184&lt;=Parametros!$B$13,"A",IF(AI184&lt;=Parametros!$B$14,"B","C")))</f>
        <v/>
      </c>
      <c r="AK184" s="13">
        <f>IF(Datos!A184="","",VLOOKUP(AJ184,Parametros!$A$8:$C$10,2,FALSE))</f>
        <v/>
      </c>
      <c r="AL184">
        <f>IF(Datos!A184="","",VLOOKUP(AJ184,Parametros!$A$8:$C$10,3,FALSE))</f>
        <v/>
      </c>
      <c r="AM184">
        <f>IF(Datos!A184="","",NORMSINV(AK184))</f>
        <v/>
      </c>
      <c r="AN184">
        <f>IF(Datos!A184="","",D184/Parametros!$B$4)</f>
        <v/>
      </c>
      <c r="AO184">
        <f>IF(Datos!A184="","",MAX(0,ROUNDUP(AM184*(AN184*Parametros!$B$3)*SQRT((AL184+E184)),0)))</f>
        <v/>
      </c>
      <c r="AP184">
        <f>IF(Datos!A184="","",MAX(1,ROUNDUP(AN184*(AL184+E184)+AM184*(AN184*Parametros!$B$3)*SQRT((AL184+E184)),0)))</f>
        <v/>
      </c>
      <c r="AQ184">
        <f>IF(Datos!A184="","",IF(Datos!J184="","",Datos!J184))</f>
        <v/>
      </c>
      <c r="AR184">
        <f>IF(OR(Datos!A184="",AQ184=""),"",MAX(0,AQ184-AP184))</f>
        <v/>
      </c>
      <c r="AS184" s="10">
        <f>IF(OR(Datos!A184="",AQ184=""),"",AR184*C184)</f>
        <v/>
      </c>
      <c r="AT184" s="12">
        <f>IF(OR(Datos!A184="",AQ184=""),"",IF(AQ184&lt;AO184,"SI",""))</f>
        <v/>
      </c>
      <c r="AU184">
        <f>IF(Datos!A184="","",IF(AT184="SI","Reponer ahora",IF(AND(AQ184&lt;&gt;"",AR184&gt;0),"Bajar "&amp;TEXT(AR184,"#,##0")&amp;" un.","En rango")))</f>
        <v/>
      </c>
    </row>
    <row r="185">
      <c r="A185">
        <f>IF(Datos!A185="","",Datos!A185)</f>
        <v/>
      </c>
      <c r="B185">
        <f>IF(Datos!A185="","",Datos!B185)</f>
        <v/>
      </c>
      <c r="C185">
        <f>IF(Datos!A185="","",IFERROR(MAX(0,N(Datos!D185)),0))</f>
        <v/>
      </c>
      <c r="D185">
        <f>IF(Datos!A185="","",IFERROR(MAX(0,N(Datos!E185)),0))</f>
        <v/>
      </c>
      <c r="E185">
        <f>IF(Datos!A185="","",IFERROR(MAX(0,N(Datos!F185)),0))</f>
        <v/>
      </c>
      <c r="F185">
        <f>IF(Datos!A185="","",IFERROR(MAX(0,N(Datos!G185)),0))</f>
        <v/>
      </c>
      <c r="G185">
        <f>IF(Datos!A185="","",IFERROR(MAX(0,N(Datos!H185)),0))</f>
        <v/>
      </c>
      <c r="H185">
        <f>IF(Datos!A185="","",IFERROR(MAX(0,N(Datos!I185)),0))</f>
        <v/>
      </c>
      <c r="J185">
        <f>IF(Datos!A185="","",IF(MAX(C$2:C$301)-MIN(C$2:C$301)&lt;0.000000001,0.5,(C185-MIN(C$2:C$301))/(MAX(C$2:C$301)-MIN(C$2:C$301)))+0.000000001)</f>
        <v/>
      </c>
      <c r="K185">
        <f>IF(Datos!A185="","",IF(MAX(D$2:D$301)-MIN(D$2:D$301)&lt;0.000000001,0.5,(D185-MIN(D$2:D$301))/(MAX(D$2:D$301)-MIN(D$2:D$301)))+0.000000001)</f>
        <v/>
      </c>
      <c r="L185">
        <f>IF(Datos!A185="","",IF(MAX(E$2:E$301)-MIN(E$2:E$301)&lt;0.000000001,0.5,(E185-MIN(E$2:E$301))/(MAX(E$2:E$301)-MIN(E$2:E$301)))+0.000000001)</f>
        <v/>
      </c>
      <c r="M185">
        <f>IF(Datos!A185="","",IF(MAX(F$2:F$301)-MIN(F$2:F$301)&lt;0.000000001,0.5,(F185-MIN(F$2:F$301))/(MAX(F$2:F$301)-MIN(F$2:F$301)))+0.000000001)</f>
        <v/>
      </c>
      <c r="N185">
        <f>IF(Datos!A185="","",IF(MAX(G$2:G$301)-MIN(G$2:G$301)&lt;0.000000001,0.5,(G185-MIN(G$2:G$301))/(MAX(G$2:G$301)-MIN(G$2:G$301)))+0.000000001)</f>
        <v/>
      </c>
      <c r="O185">
        <f>IF(Datos!A185="","",IF(MAX(H$2:H$301)-MIN(H$2:H$301)&lt;0.000000001,0.5,(H185-MIN(H$2:H$301))/(MAX(H$2:H$301)-MIN(H$2:H$301)))+0.000000001)</f>
        <v/>
      </c>
      <c r="Q185">
        <f>IF(Datos!A185="","",(J185/SUM(J$2:J$301))*LN(J185/SUM(J$2:J$301)))</f>
        <v/>
      </c>
      <c r="R185">
        <f>IF(Datos!A185="","",(K185/SUM(K$2:K$301))*LN(K185/SUM(K$2:K$301)))</f>
        <v/>
      </c>
      <c r="S185">
        <f>IF(Datos!A185="","",(L185/SUM(L$2:L$301))*LN(L185/SUM(L$2:L$301)))</f>
        <v/>
      </c>
      <c r="T185">
        <f>IF(Datos!A185="","",(M185/SUM(M$2:M$301))*LN(M185/SUM(M$2:M$301)))</f>
        <v/>
      </c>
      <c r="U185">
        <f>IF(Datos!A185="","",(N185/SUM(N$2:N$301))*LN(N185/SUM(N$2:N$301)))</f>
        <v/>
      </c>
      <c r="V185">
        <f>IF(Datos!A185="","",(O185/SUM(O$2:O$301))*LN(O185/SUM(O$2:O$301)))</f>
        <v/>
      </c>
      <c r="X185">
        <f>IF(Datos!A185="","",IF(SUMSQ(C$2:C$301)=0,0,C185/SQRT(SUMSQ(C$2:C$301)))*$BE$2)</f>
        <v/>
      </c>
      <c r="Y185">
        <f>IF(Datos!A185="","",IF(SUMSQ(D$2:D$301)=0,0,D185/SQRT(SUMSQ(D$2:D$301)))*$BE$3)</f>
        <v/>
      </c>
      <c r="Z185">
        <f>IF(Datos!A185="","",IF(SUMSQ(E$2:E$301)=0,0,E185/SQRT(SUMSQ(E$2:E$301)))*$BE$4)</f>
        <v/>
      </c>
      <c r="AA185">
        <f>IF(Datos!A185="","",IF(SUMSQ(F$2:F$301)=0,0,F185/SQRT(SUMSQ(F$2:F$301)))*$BE$5)</f>
        <v/>
      </c>
      <c r="AB185">
        <f>IF(Datos!A185="","",IF(SUMSQ(G$2:G$301)=0,0,G185/SQRT(SUMSQ(G$2:G$301)))*$BE$6)</f>
        <v/>
      </c>
      <c r="AC185">
        <f>IF(Datos!A185="","",IF(SUMSQ(H$2:H$301)=0,0,H185/SQRT(SUMSQ(H$2:H$301)))*$BE$7)</f>
        <v/>
      </c>
      <c r="AE185">
        <f>IF(Datos!A185="","",SQRT(SUMXMY2(X185:AC185,$X$303:$AC$303)))</f>
        <v/>
      </c>
      <c r="AF185">
        <f>IF(Datos!A185="","",SQRT(SUMXMY2(X185:AC185,$X$304:$AC$304)))</f>
        <v/>
      </c>
      <c r="AG185" s="11">
        <f>IF(Datos!A185="","",IF(AE185+AF185&lt;0.000000001,0.5,AF185/(AE185+AF185)))</f>
        <v/>
      </c>
      <c r="AH185">
        <f>IF(Datos!A185="","",AG185*MAX(C185*D185,1))</f>
        <v/>
      </c>
      <c r="AI185">
        <f>IF(Datos!A185="","",SUMIF($AH$2:$AH$301,"&gt;="&amp;AH185,$AH$2:$AH$301)/SUM($AH$2:$AH$301))</f>
        <v/>
      </c>
      <c r="AJ185" s="12">
        <f>IF(Datos!A185="","",IF(AI185&lt;=Parametros!$B$13,"A",IF(AI185&lt;=Parametros!$B$14,"B","C")))</f>
        <v/>
      </c>
      <c r="AK185" s="13">
        <f>IF(Datos!A185="","",VLOOKUP(AJ185,Parametros!$A$8:$C$10,2,FALSE))</f>
        <v/>
      </c>
      <c r="AL185">
        <f>IF(Datos!A185="","",VLOOKUP(AJ185,Parametros!$A$8:$C$10,3,FALSE))</f>
        <v/>
      </c>
      <c r="AM185">
        <f>IF(Datos!A185="","",NORMSINV(AK185))</f>
        <v/>
      </c>
      <c r="AN185">
        <f>IF(Datos!A185="","",D185/Parametros!$B$4)</f>
        <v/>
      </c>
      <c r="AO185">
        <f>IF(Datos!A185="","",MAX(0,ROUNDUP(AM185*(AN185*Parametros!$B$3)*SQRT((AL185+E185)),0)))</f>
        <v/>
      </c>
      <c r="AP185">
        <f>IF(Datos!A185="","",MAX(1,ROUNDUP(AN185*(AL185+E185)+AM185*(AN185*Parametros!$B$3)*SQRT((AL185+E185)),0)))</f>
        <v/>
      </c>
      <c r="AQ185">
        <f>IF(Datos!A185="","",IF(Datos!J185="","",Datos!J185))</f>
        <v/>
      </c>
      <c r="AR185">
        <f>IF(OR(Datos!A185="",AQ185=""),"",MAX(0,AQ185-AP185))</f>
        <v/>
      </c>
      <c r="AS185" s="10">
        <f>IF(OR(Datos!A185="",AQ185=""),"",AR185*C185)</f>
        <v/>
      </c>
      <c r="AT185" s="12">
        <f>IF(OR(Datos!A185="",AQ185=""),"",IF(AQ185&lt;AO185,"SI",""))</f>
        <v/>
      </c>
      <c r="AU185">
        <f>IF(Datos!A185="","",IF(AT185="SI","Reponer ahora",IF(AND(AQ185&lt;&gt;"",AR185&gt;0),"Bajar "&amp;TEXT(AR185,"#,##0")&amp;" un.","En rango")))</f>
        <v/>
      </c>
    </row>
    <row r="186">
      <c r="A186">
        <f>IF(Datos!A186="","",Datos!A186)</f>
        <v/>
      </c>
      <c r="B186">
        <f>IF(Datos!A186="","",Datos!B186)</f>
        <v/>
      </c>
      <c r="C186">
        <f>IF(Datos!A186="","",IFERROR(MAX(0,N(Datos!D186)),0))</f>
        <v/>
      </c>
      <c r="D186">
        <f>IF(Datos!A186="","",IFERROR(MAX(0,N(Datos!E186)),0))</f>
        <v/>
      </c>
      <c r="E186">
        <f>IF(Datos!A186="","",IFERROR(MAX(0,N(Datos!F186)),0))</f>
        <v/>
      </c>
      <c r="F186">
        <f>IF(Datos!A186="","",IFERROR(MAX(0,N(Datos!G186)),0))</f>
        <v/>
      </c>
      <c r="G186">
        <f>IF(Datos!A186="","",IFERROR(MAX(0,N(Datos!H186)),0))</f>
        <v/>
      </c>
      <c r="H186">
        <f>IF(Datos!A186="","",IFERROR(MAX(0,N(Datos!I186)),0))</f>
        <v/>
      </c>
      <c r="J186">
        <f>IF(Datos!A186="","",IF(MAX(C$2:C$301)-MIN(C$2:C$301)&lt;0.000000001,0.5,(C186-MIN(C$2:C$301))/(MAX(C$2:C$301)-MIN(C$2:C$301)))+0.000000001)</f>
        <v/>
      </c>
      <c r="K186">
        <f>IF(Datos!A186="","",IF(MAX(D$2:D$301)-MIN(D$2:D$301)&lt;0.000000001,0.5,(D186-MIN(D$2:D$301))/(MAX(D$2:D$301)-MIN(D$2:D$301)))+0.000000001)</f>
        <v/>
      </c>
      <c r="L186">
        <f>IF(Datos!A186="","",IF(MAX(E$2:E$301)-MIN(E$2:E$301)&lt;0.000000001,0.5,(E186-MIN(E$2:E$301))/(MAX(E$2:E$301)-MIN(E$2:E$301)))+0.000000001)</f>
        <v/>
      </c>
      <c r="M186">
        <f>IF(Datos!A186="","",IF(MAX(F$2:F$301)-MIN(F$2:F$301)&lt;0.000000001,0.5,(F186-MIN(F$2:F$301))/(MAX(F$2:F$301)-MIN(F$2:F$301)))+0.000000001)</f>
        <v/>
      </c>
      <c r="N186">
        <f>IF(Datos!A186="","",IF(MAX(G$2:G$301)-MIN(G$2:G$301)&lt;0.000000001,0.5,(G186-MIN(G$2:G$301))/(MAX(G$2:G$301)-MIN(G$2:G$301)))+0.000000001)</f>
        <v/>
      </c>
      <c r="O186">
        <f>IF(Datos!A186="","",IF(MAX(H$2:H$301)-MIN(H$2:H$301)&lt;0.000000001,0.5,(H186-MIN(H$2:H$301))/(MAX(H$2:H$301)-MIN(H$2:H$301)))+0.000000001)</f>
        <v/>
      </c>
      <c r="Q186">
        <f>IF(Datos!A186="","",(J186/SUM(J$2:J$301))*LN(J186/SUM(J$2:J$301)))</f>
        <v/>
      </c>
      <c r="R186">
        <f>IF(Datos!A186="","",(K186/SUM(K$2:K$301))*LN(K186/SUM(K$2:K$301)))</f>
        <v/>
      </c>
      <c r="S186">
        <f>IF(Datos!A186="","",(L186/SUM(L$2:L$301))*LN(L186/SUM(L$2:L$301)))</f>
        <v/>
      </c>
      <c r="T186">
        <f>IF(Datos!A186="","",(M186/SUM(M$2:M$301))*LN(M186/SUM(M$2:M$301)))</f>
        <v/>
      </c>
      <c r="U186">
        <f>IF(Datos!A186="","",(N186/SUM(N$2:N$301))*LN(N186/SUM(N$2:N$301)))</f>
        <v/>
      </c>
      <c r="V186">
        <f>IF(Datos!A186="","",(O186/SUM(O$2:O$301))*LN(O186/SUM(O$2:O$301)))</f>
        <v/>
      </c>
      <c r="X186">
        <f>IF(Datos!A186="","",IF(SUMSQ(C$2:C$301)=0,0,C186/SQRT(SUMSQ(C$2:C$301)))*$BE$2)</f>
        <v/>
      </c>
      <c r="Y186">
        <f>IF(Datos!A186="","",IF(SUMSQ(D$2:D$301)=0,0,D186/SQRT(SUMSQ(D$2:D$301)))*$BE$3)</f>
        <v/>
      </c>
      <c r="Z186">
        <f>IF(Datos!A186="","",IF(SUMSQ(E$2:E$301)=0,0,E186/SQRT(SUMSQ(E$2:E$301)))*$BE$4)</f>
        <v/>
      </c>
      <c r="AA186">
        <f>IF(Datos!A186="","",IF(SUMSQ(F$2:F$301)=0,0,F186/SQRT(SUMSQ(F$2:F$301)))*$BE$5)</f>
        <v/>
      </c>
      <c r="AB186">
        <f>IF(Datos!A186="","",IF(SUMSQ(G$2:G$301)=0,0,G186/SQRT(SUMSQ(G$2:G$301)))*$BE$6)</f>
        <v/>
      </c>
      <c r="AC186">
        <f>IF(Datos!A186="","",IF(SUMSQ(H$2:H$301)=0,0,H186/SQRT(SUMSQ(H$2:H$301)))*$BE$7)</f>
        <v/>
      </c>
      <c r="AE186">
        <f>IF(Datos!A186="","",SQRT(SUMXMY2(X186:AC186,$X$303:$AC$303)))</f>
        <v/>
      </c>
      <c r="AF186">
        <f>IF(Datos!A186="","",SQRT(SUMXMY2(X186:AC186,$X$304:$AC$304)))</f>
        <v/>
      </c>
      <c r="AG186" s="11">
        <f>IF(Datos!A186="","",IF(AE186+AF186&lt;0.000000001,0.5,AF186/(AE186+AF186)))</f>
        <v/>
      </c>
      <c r="AH186">
        <f>IF(Datos!A186="","",AG186*MAX(C186*D186,1))</f>
        <v/>
      </c>
      <c r="AI186">
        <f>IF(Datos!A186="","",SUMIF($AH$2:$AH$301,"&gt;="&amp;AH186,$AH$2:$AH$301)/SUM($AH$2:$AH$301))</f>
        <v/>
      </c>
      <c r="AJ186" s="12">
        <f>IF(Datos!A186="","",IF(AI186&lt;=Parametros!$B$13,"A",IF(AI186&lt;=Parametros!$B$14,"B","C")))</f>
        <v/>
      </c>
      <c r="AK186" s="13">
        <f>IF(Datos!A186="","",VLOOKUP(AJ186,Parametros!$A$8:$C$10,2,FALSE))</f>
        <v/>
      </c>
      <c r="AL186">
        <f>IF(Datos!A186="","",VLOOKUP(AJ186,Parametros!$A$8:$C$10,3,FALSE))</f>
        <v/>
      </c>
      <c r="AM186">
        <f>IF(Datos!A186="","",NORMSINV(AK186))</f>
        <v/>
      </c>
      <c r="AN186">
        <f>IF(Datos!A186="","",D186/Parametros!$B$4)</f>
        <v/>
      </c>
      <c r="AO186">
        <f>IF(Datos!A186="","",MAX(0,ROUNDUP(AM186*(AN186*Parametros!$B$3)*SQRT((AL186+E186)),0)))</f>
        <v/>
      </c>
      <c r="AP186">
        <f>IF(Datos!A186="","",MAX(1,ROUNDUP(AN186*(AL186+E186)+AM186*(AN186*Parametros!$B$3)*SQRT((AL186+E186)),0)))</f>
        <v/>
      </c>
      <c r="AQ186">
        <f>IF(Datos!A186="","",IF(Datos!J186="","",Datos!J186))</f>
        <v/>
      </c>
      <c r="AR186">
        <f>IF(OR(Datos!A186="",AQ186=""),"",MAX(0,AQ186-AP186))</f>
        <v/>
      </c>
      <c r="AS186" s="10">
        <f>IF(OR(Datos!A186="",AQ186=""),"",AR186*C186)</f>
        <v/>
      </c>
      <c r="AT186" s="12">
        <f>IF(OR(Datos!A186="",AQ186=""),"",IF(AQ186&lt;AO186,"SI",""))</f>
        <v/>
      </c>
      <c r="AU186">
        <f>IF(Datos!A186="","",IF(AT186="SI","Reponer ahora",IF(AND(AQ186&lt;&gt;"",AR186&gt;0),"Bajar "&amp;TEXT(AR186,"#,##0")&amp;" un.","En rango")))</f>
        <v/>
      </c>
    </row>
    <row r="187">
      <c r="A187">
        <f>IF(Datos!A187="","",Datos!A187)</f>
        <v/>
      </c>
      <c r="B187">
        <f>IF(Datos!A187="","",Datos!B187)</f>
        <v/>
      </c>
      <c r="C187">
        <f>IF(Datos!A187="","",IFERROR(MAX(0,N(Datos!D187)),0))</f>
        <v/>
      </c>
      <c r="D187">
        <f>IF(Datos!A187="","",IFERROR(MAX(0,N(Datos!E187)),0))</f>
        <v/>
      </c>
      <c r="E187">
        <f>IF(Datos!A187="","",IFERROR(MAX(0,N(Datos!F187)),0))</f>
        <v/>
      </c>
      <c r="F187">
        <f>IF(Datos!A187="","",IFERROR(MAX(0,N(Datos!G187)),0))</f>
        <v/>
      </c>
      <c r="G187">
        <f>IF(Datos!A187="","",IFERROR(MAX(0,N(Datos!H187)),0))</f>
        <v/>
      </c>
      <c r="H187">
        <f>IF(Datos!A187="","",IFERROR(MAX(0,N(Datos!I187)),0))</f>
        <v/>
      </c>
      <c r="J187">
        <f>IF(Datos!A187="","",IF(MAX(C$2:C$301)-MIN(C$2:C$301)&lt;0.000000001,0.5,(C187-MIN(C$2:C$301))/(MAX(C$2:C$301)-MIN(C$2:C$301)))+0.000000001)</f>
        <v/>
      </c>
      <c r="K187">
        <f>IF(Datos!A187="","",IF(MAX(D$2:D$301)-MIN(D$2:D$301)&lt;0.000000001,0.5,(D187-MIN(D$2:D$301))/(MAX(D$2:D$301)-MIN(D$2:D$301)))+0.000000001)</f>
        <v/>
      </c>
      <c r="L187">
        <f>IF(Datos!A187="","",IF(MAX(E$2:E$301)-MIN(E$2:E$301)&lt;0.000000001,0.5,(E187-MIN(E$2:E$301))/(MAX(E$2:E$301)-MIN(E$2:E$301)))+0.000000001)</f>
        <v/>
      </c>
      <c r="M187">
        <f>IF(Datos!A187="","",IF(MAX(F$2:F$301)-MIN(F$2:F$301)&lt;0.000000001,0.5,(F187-MIN(F$2:F$301))/(MAX(F$2:F$301)-MIN(F$2:F$301)))+0.000000001)</f>
        <v/>
      </c>
      <c r="N187">
        <f>IF(Datos!A187="","",IF(MAX(G$2:G$301)-MIN(G$2:G$301)&lt;0.000000001,0.5,(G187-MIN(G$2:G$301))/(MAX(G$2:G$301)-MIN(G$2:G$301)))+0.000000001)</f>
        <v/>
      </c>
      <c r="O187">
        <f>IF(Datos!A187="","",IF(MAX(H$2:H$301)-MIN(H$2:H$301)&lt;0.000000001,0.5,(H187-MIN(H$2:H$301))/(MAX(H$2:H$301)-MIN(H$2:H$301)))+0.000000001)</f>
        <v/>
      </c>
      <c r="Q187">
        <f>IF(Datos!A187="","",(J187/SUM(J$2:J$301))*LN(J187/SUM(J$2:J$301)))</f>
        <v/>
      </c>
      <c r="R187">
        <f>IF(Datos!A187="","",(K187/SUM(K$2:K$301))*LN(K187/SUM(K$2:K$301)))</f>
        <v/>
      </c>
      <c r="S187">
        <f>IF(Datos!A187="","",(L187/SUM(L$2:L$301))*LN(L187/SUM(L$2:L$301)))</f>
        <v/>
      </c>
      <c r="T187">
        <f>IF(Datos!A187="","",(M187/SUM(M$2:M$301))*LN(M187/SUM(M$2:M$301)))</f>
        <v/>
      </c>
      <c r="U187">
        <f>IF(Datos!A187="","",(N187/SUM(N$2:N$301))*LN(N187/SUM(N$2:N$301)))</f>
        <v/>
      </c>
      <c r="V187">
        <f>IF(Datos!A187="","",(O187/SUM(O$2:O$301))*LN(O187/SUM(O$2:O$301)))</f>
        <v/>
      </c>
      <c r="X187">
        <f>IF(Datos!A187="","",IF(SUMSQ(C$2:C$301)=0,0,C187/SQRT(SUMSQ(C$2:C$301)))*$BE$2)</f>
        <v/>
      </c>
      <c r="Y187">
        <f>IF(Datos!A187="","",IF(SUMSQ(D$2:D$301)=0,0,D187/SQRT(SUMSQ(D$2:D$301)))*$BE$3)</f>
        <v/>
      </c>
      <c r="Z187">
        <f>IF(Datos!A187="","",IF(SUMSQ(E$2:E$301)=0,0,E187/SQRT(SUMSQ(E$2:E$301)))*$BE$4)</f>
        <v/>
      </c>
      <c r="AA187">
        <f>IF(Datos!A187="","",IF(SUMSQ(F$2:F$301)=0,0,F187/SQRT(SUMSQ(F$2:F$301)))*$BE$5)</f>
        <v/>
      </c>
      <c r="AB187">
        <f>IF(Datos!A187="","",IF(SUMSQ(G$2:G$301)=0,0,G187/SQRT(SUMSQ(G$2:G$301)))*$BE$6)</f>
        <v/>
      </c>
      <c r="AC187">
        <f>IF(Datos!A187="","",IF(SUMSQ(H$2:H$301)=0,0,H187/SQRT(SUMSQ(H$2:H$301)))*$BE$7)</f>
        <v/>
      </c>
      <c r="AE187">
        <f>IF(Datos!A187="","",SQRT(SUMXMY2(X187:AC187,$X$303:$AC$303)))</f>
        <v/>
      </c>
      <c r="AF187">
        <f>IF(Datos!A187="","",SQRT(SUMXMY2(X187:AC187,$X$304:$AC$304)))</f>
        <v/>
      </c>
      <c r="AG187" s="11">
        <f>IF(Datos!A187="","",IF(AE187+AF187&lt;0.000000001,0.5,AF187/(AE187+AF187)))</f>
        <v/>
      </c>
      <c r="AH187">
        <f>IF(Datos!A187="","",AG187*MAX(C187*D187,1))</f>
        <v/>
      </c>
      <c r="AI187">
        <f>IF(Datos!A187="","",SUMIF($AH$2:$AH$301,"&gt;="&amp;AH187,$AH$2:$AH$301)/SUM($AH$2:$AH$301))</f>
        <v/>
      </c>
      <c r="AJ187" s="12">
        <f>IF(Datos!A187="","",IF(AI187&lt;=Parametros!$B$13,"A",IF(AI187&lt;=Parametros!$B$14,"B","C")))</f>
        <v/>
      </c>
      <c r="AK187" s="13">
        <f>IF(Datos!A187="","",VLOOKUP(AJ187,Parametros!$A$8:$C$10,2,FALSE))</f>
        <v/>
      </c>
      <c r="AL187">
        <f>IF(Datos!A187="","",VLOOKUP(AJ187,Parametros!$A$8:$C$10,3,FALSE))</f>
        <v/>
      </c>
      <c r="AM187">
        <f>IF(Datos!A187="","",NORMSINV(AK187))</f>
        <v/>
      </c>
      <c r="AN187">
        <f>IF(Datos!A187="","",D187/Parametros!$B$4)</f>
        <v/>
      </c>
      <c r="AO187">
        <f>IF(Datos!A187="","",MAX(0,ROUNDUP(AM187*(AN187*Parametros!$B$3)*SQRT((AL187+E187)),0)))</f>
        <v/>
      </c>
      <c r="AP187">
        <f>IF(Datos!A187="","",MAX(1,ROUNDUP(AN187*(AL187+E187)+AM187*(AN187*Parametros!$B$3)*SQRT((AL187+E187)),0)))</f>
        <v/>
      </c>
      <c r="AQ187">
        <f>IF(Datos!A187="","",IF(Datos!J187="","",Datos!J187))</f>
        <v/>
      </c>
      <c r="AR187">
        <f>IF(OR(Datos!A187="",AQ187=""),"",MAX(0,AQ187-AP187))</f>
        <v/>
      </c>
      <c r="AS187" s="10">
        <f>IF(OR(Datos!A187="",AQ187=""),"",AR187*C187)</f>
        <v/>
      </c>
      <c r="AT187" s="12">
        <f>IF(OR(Datos!A187="",AQ187=""),"",IF(AQ187&lt;AO187,"SI",""))</f>
        <v/>
      </c>
      <c r="AU187">
        <f>IF(Datos!A187="","",IF(AT187="SI","Reponer ahora",IF(AND(AQ187&lt;&gt;"",AR187&gt;0),"Bajar "&amp;TEXT(AR187,"#,##0")&amp;" un.","En rango")))</f>
        <v/>
      </c>
    </row>
    <row r="188">
      <c r="A188">
        <f>IF(Datos!A188="","",Datos!A188)</f>
        <v/>
      </c>
      <c r="B188">
        <f>IF(Datos!A188="","",Datos!B188)</f>
        <v/>
      </c>
      <c r="C188">
        <f>IF(Datos!A188="","",IFERROR(MAX(0,N(Datos!D188)),0))</f>
        <v/>
      </c>
      <c r="D188">
        <f>IF(Datos!A188="","",IFERROR(MAX(0,N(Datos!E188)),0))</f>
        <v/>
      </c>
      <c r="E188">
        <f>IF(Datos!A188="","",IFERROR(MAX(0,N(Datos!F188)),0))</f>
        <v/>
      </c>
      <c r="F188">
        <f>IF(Datos!A188="","",IFERROR(MAX(0,N(Datos!G188)),0))</f>
        <v/>
      </c>
      <c r="G188">
        <f>IF(Datos!A188="","",IFERROR(MAX(0,N(Datos!H188)),0))</f>
        <v/>
      </c>
      <c r="H188">
        <f>IF(Datos!A188="","",IFERROR(MAX(0,N(Datos!I188)),0))</f>
        <v/>
      </c>
      <c r="J188">
        <f>IF(Datos!A188="","",IF(MAX(C$2:C$301)-MIN(C$2:C$301)&lt;0.000000001,0.5,(C188-MIN(C$2:C$301))/(MAX(C$2:C$301)-MIN(C$2:C$301)))+0.000000001)</f>
        <v/>
      </c>
      <c r="K188">
        <f>IF(Datos!A188="","",IF(MAX(D$2:D$301)-MIN(D$2:D$301)&lt;0.000000001,0.5,(D188-MIN(D$2:D$301))/(MAX(D$2:D$301)-MIN(D$2:D$301)))+0.000000001)</f>
        <v/>
      </c>
      <c r="L188">
        <f>IF(Datos!A188="","",IF(MAX(E$2:E$301)-MIN(E$2:E$301)&lt;0.000000001,0.5,(E188-MIN(E$2:E$301))/(MAX(E$2:E$301)-MIN(E$2:E$301)))+0.000000001)</f>
        <v/>
      </c>
      <c r="M188">
        <f>IF(Datos!A188="","",IF(MAX(F$2:F$301)-MIN(F$2:F$301)&lt;0.000000001,0.5,(F188-MIN(F$2:F$301))/(MAX(F$2:F$301)-MIN(F$2:F$301)))+0.000000001)</f>
        <v/>
      </c>
      <c r="N188">
        <f>IF(Datos!A188="","",IF(MAX(G$2:G$301)-MIN(G$2:G$301)&lt;0.000000001,0.5,(G188-MIN(G$2:G$301))/(MAX(G$2:G$301)-MIN(G$2:G$301)))+0.000000001)</f>
        <v/>
      </c>
      <c r="O188">
        <f>IF(Datos!A188="","",IF(MAX(H$2:H$301)-MIN(H$2:H$301)&lt;0.000000001,0.5,(H188-MIN(H$2:H$301))/(MAX(H$2:H$301)-MIN(H$2:H$301)))+0.000000001)</f>
        <v/>
      </c>
      <c r="Q188">
        <f>IF(Datos!A188="","",(J188/SUM(J$2:J$301))*LN(J188/SUM(J$2:J$301)))</f>
        <v/>
      </c>
      <c r="R188">
        <f>IF(Datos!A188="","",(K188/SUM(K$2:K$301))*LN(K188/SUM(K$2:K$301)))</f>
        <v/>
      </c>
      <c r="S188">
        <f>IF(Datos!A188="","",(L188/SUM(L$2:L$301))*LN(L188/SUM(L$2:L$301)))</f>
        <v/>
      </c>
      <c r="T188">
        <f>IF(Datos!A188="","",(M188/SUM(M$2:M$301))*LN(M188/SUM(M$2:M$301)))</f>
        <v/>
      </c>
      <c r="U188">
        <f>IF(Datos!A188="","",(N188/SUM(N$2:N$301))*LN(N188/SUM(N$2:N$301)))</f>
        <v/>
      </c>
      <c r="V188">
        <f>IF(Datos!A188="","",(O188/SUM(O$2:O$301))*LN(O188/SUM(O$2:O$301)))</f>
        <v/>
      </c>
      <c r="X188">
        <f>IF(Datos!A188="","",IF(SUMSQ(C$2:C$301)=0,0,C188/SQRT(SUMSQ(C$2:C$301)))*$BE$2)</f>
        <v/>
      </c>
      <c r="Y188">
        <f>IF(Datos!A188="","",IF(SUMSQ(D$2:D$301)=0,0,D188/SQRT(SUMSQ(D$2:D$301)))*$BE$3)</f>
        <v/>
      </c>
      <c r="Z188">
        <f>IF(Datos!A188="","",IF(SUMSQ(E$2:E$301)=0,0,E188/SQRT(SUMSQ(E$2:E$301)))*$BE$4)</f>
        <v/>
      </c>
      <c r="AA188">
        <f>IF(Datos!A188="","",IF(SUMSQ(F$2:F$301)=0,0,F188/SQRT(SUMSQ(F$2:F$301)))*$BE$5)</f>
        <v/>
      </c>
      <c r="AB188">
        <f>IF(Datos!A188="","",IF(SUMSQ(G$2:G$301)=0,0,G188/SQRT(SUMSQ(G$2:G$301)))*$BE$6)</f>
        <v/>
      </c>
      <c r="AC188">
        <f>IF(Datos!A188="","",IF(SUMSQ(H$2:H$301)=0,0,H188/SQRT(SUMSQ(H$2:H$301)))*$BE$7)</f>
        <v/>
      </c>
      <c r="AE188">
        <f>IF(Datos!A188="","",SQRT(SUMXMY2(X188:AC188,$X$303:$AC$303)))</f>
        <v/>
      </c>
      <c r="AF188">
        <f>IF(Datos!A188="","",SQRT(SUMXMY2(X188:AC188,$X$304:$AC$304)))</f>
        <v/>
      </c>
      <c r="AG188" s="11">
        <f>IF(Datos!A188="","",IF(AE188+AF188&lt;0.000000001,0.5,AF188/(AE188+AF188)))</f>
        <v/>
      </c>
      <c r="AH188">
        <f>IF(Datos!A188="","",AG188*MAX(C188*D188,1))</f>
        <v/>
      </c>
      <c r="AI188">
        <f>IF(Datos!A188="","",SUMIF($AH$2:$AH$301,"&gt;="&amp;AH188,$AH$2:$AH$301)/SUM($AH$2:$AH$301))</f>
        <v/>
      </c>
      <c r="AJ188" s="12">
        <f>IF(Datos!A188="","",IF(AI188&lt;=Parametros!$B$13,"A",IF(AI188&lt;=Parametros!$B$14,"B","C")))</f>
        <v/>
      </c>
      <c r="AK188" s="13">
        <f>IF(Datos!A188="","",VLOOKUP(AJ188,Parametros!$A$8:$C$10,2,FALSE))</f>
        <v/>
      </c>
      <c r="AL188">
        <f>IF(Datos!A188="","",VLOOKUP(AJ188,Parametros!$A$8:$C$10,3,FALSE))</f>
        <v/>
      </c>
      <c r="AM188">
        <f>IF(Datos!A188="","",NORMSINV(AK188))</f>
        <v/>
      </c>
      <c r="AN188">
        <f>IF(Datos!A188="","",D188/Parametros!$B$4)</f>
        <v/>
      </c>
      <c r="AO188">
        <f>IF(Datos!A188="","",MAX(0,ROUNDUP(AM188*(AN188*Parametros!$B$3)*SQRT((AL188+E188)),0)))</f>
        <v/>
      </c>
      <c r="AP188">
        <f>IF(Datos!A188="","",MAX(1,ROUNDUP(AN188*(AL188+E188)+AM188*(AN188*Parametros!$B$3)*SQRT((AL188+E188)),0)))</f>
        <v/>
      </c>
      <c r="AQ188">
        <f>IF(Datos!A188="","",IF(Datos!J188="","",Datos!J188))</f>
        <v/>
      </c>
      <c r="AR188">
        <f>IF(OR(Datos!A188="",AQ188=""),"",MAX(0,AQ188-AP188))</f>
        <v/>
      </c>
      <c r="AS188" s="10">
        <f>IF(OR(Datos!A188="",AQ188=""),"",AR188*C188)</f>
        <v/>
      </c>
      <c r="AT188" s="12">
        <f>IF(OR(Datos!A188="",AQ188=""),"",IF(AQ188&lt;AO188,"SI",""))</f>
        <v/>
      </c>
      <c r="AU188">
        <f>IF(Datos!A188="","",IF(AT188="SI","Reponer ahora",IF(AND(AQ188&lt;&gt;"",AR188&gt;0),"Bajar "&amp;TEXT(AR188,"#,##0")&amp;" un.","En rango")))</f>
        <v/>
      </c>
    </row>
    <row r="189">
      <c r="A189">
        <f>IF(Datos!A189="","",Datos!A189)</f>
        <v/>
      </c>
      <c r="B189">
        <f>IF(Datos!A189="","",Datos!B189)</f>
        <v/>
      </c>
      <c r="C189">
        <f>IF(Datos!A189="","",IFERROR(MAX(0,N(Datos!D189)),0))</f>
        <v/>
      </c>
      <c r="D189">
        <f>IF(Datos!A189="","",IFERROR(MAX(0,N(Datos!E189)),0))</f>
        <v/>
      </c>
      <c r="E189">
        <f>IF(Datos!A189="","",IFERROR(MAX(0,N(Datos!F189)),0))</f>
        <v/>
      </c>
      <c r="F189">
        <f>IF(Datos!A189="","",IFERROR(MAX(0,N(Datos!G189)),0))</f>
        <v/>
      </c>
      <c r="G189">
        <f>IF(Datos!A189="","",IFERROR(MAX(0,N(Datos!H189)),0))</f>
        <v/>
      </c>
      <c r="H189">
        <f>IF(Datos!A189="","",IFERROR(MAX(0,N(Datos!I189)),0))</f>
        <v/>
      </c>
      <c r="J189">
        <f>IF(Datos!A189="","",IF(MAX(C$2:C$301)-MIN(C$2:C$301)&lt;0.000000001,0.5,(C189-MIN(C$2:C$301))/(MAX(C$2:C$301)-MIN(C$2:C$301)))+0.000000001)</f>
        <v/>
      </c>
      <c r="K189">
        <f>IF(Datos!A189="","",IF(MAX(D$2:D$301)-MIN(D$2:D$301)&lt;0.000000001,0.5,(D189-MIN(D$2:D$301))/(MAX(D$2:D$301)-MIN(D$2:D$301)))+0.000000001)</f>
        <v/>
      </c>
      <c r="L189">
        <f>IF(Datos!A189="","",IF(MAX(E$2:E$301)-MIN(E$2:E$301)&lt;0.000000001,0.5,(E189-MIN(E$2:E$301))/(MAX(E$2:E$301)-MIN(E$2:E$301)))+0.000000001)</f>
        <v/>
      </c>
      <c r="M189">
        <f>IF(Datos!A189="","",IF(MAX(F$2:F$301)-MIN(F$2:F$301)&lt;0.000000001,0.5,(F189-MIN(F$2:F$301))/(MAX(F$2:F$301)-MIN(F$2:F$301)))+0.000000001)</f>
        <v/>
      </c>
      <c r="N189">
        <f>IF(Datos!A189="","",IF(MAX(G$2:G$301)-MIN(G$2:G$301)&lt;0.000000001,0.5,(G189-MIN(G$2:G$301))/(MAX(G$2:G$301)-MIN(G$2:G$301)))+0.000000001)</f>
        <v/>
      </c>
      <c r="O189">
        <f>IF(Datos!A189="","",IF(MAX(H$2:H$301)-MIN(H$2:H$301)&lt;0.000000001,0.5,(H189-MIN(H$2:H$301))/(MAX(H$2:H$301)-MIN(H$2:H$301)))+0.000000001)</f>
        <v/>
      </c>
      <c r="Q189">
        <f>IF(Datos!A189="","",(J189/SUM(J$2:J$301))*LN(J189/SUM(J$2:J$301)))</f>
        <v/>
      </c>
      <c r="R189">
        <f>IF(Datos!A189="","",(K189/SUM(K$2:K$301))*LN(K189/SUM(K$2:K$301)))</f>
        <v/>
      </c>
      <c r="S189">
        <f>IF(Datos!A189="","",(L189/SUM(L$2:L$301))*LN(L189/SUM(L$2:L$301)))</f>
        <v/>
      </c>
      <c r="T189">
        <f>IF(Datos!A189="","",(M189/SUM(M$2:M$301))*LN(M189/SUM(M$2:M$301)))</f>
        <v/>
      </c>
      <c r="U189">
        <f>IF(Datos!A189="","",(N189/SUM(N$2:N$301))*LN(N189/SUM(N$2:N$301)))</f>
        <v/>
      </c>
      <c r="V189">
        <f>IF(Datos!A189="","",(O189/SUM(O$2:O$301))*LN(O189/SUM(O$2:O$301)))</f>
        <v/>
      </c>
      <c r="X189">
        <f>IF(Datos!A189="","",IF(SUMSQ(C$2:C$301)=0,0,C189/SQRT(SUMSQ(C$2:C$301)))*$BE$2)</f>
        <v/>
      </c>
      <c r="Y189">
        <f>IF(Datos!A189="","",IF(SUMSQ(D$2:D$301)=0,0,D189/SQRT(SUMSQ(D$2:D$301)))*$BE$3)</f>
        <v/>
      </c>
      <c r="Z189">
        <f>IF(Datos!A189="","",IF(SUMSQ(E$2:E$301)=0,0,E189/SQRT(SUMSQ(E$2:E$301)))*$BE$4)</f>
        <v/>
      </c>
      <c r="AA189">
        <f>IF(Datos!A189="","",IF(SUMSQ(F$2:F$301)=0,0,F189/SQRT(SUMSQ(F$2:F$301)))*$BE$5)</f>
        <v/>
      </c>
      <c r="AB189">
        <f>IF(Datos!A189="","",IF(SUMSQ(G$2:G$301)=0,0,G189/SQRT(SUMSQ(G$2:G$301)))*$BE$6)</f>
        <v/>
      </c>
      <c r="AC189">
        <f>IF(Datos!A189="","",IF(SUMSQ(H$2:H$301)=0,0,H189/SQRT(SUMSQ(H$2:H$301)))*$BE$7)</f>
        <v/>
      </c>
      <c r="AE189">
        <f>IF(Datos!A189="","",SQRT(SUMXMY2(X189:AC189,$X$303:$AC$303)))</f>
        <v/>
      </c>
      <c r="AF189">
        <f>IF(Datos!A189="","",SQRT(SUMXMY2(X189:AC189,$X$304:$AC$304)))</f>
        <v/>
      </c>
      <c r="AG189" s="11">
        <f>IF(Datos!A189="","",IF(AE189+AF189&lt;0.000000001,0.5,AF189/(AE189+AF189)))</f>
        <v/>
      </c>
      <c r="AH189">
        <f>IF(Datos!A189="","",AG189*MAX(C189*D189,1))</f>
        <v/>
      </c>
      <c r="AI189">
        <f>IF(Datos!A189="","",SUMIF($AH$2:$AH$301,"&gt;="&amp;AH189,$AH$2:$AH$301)/SUM($AH$2:$AH$301))</f>
        <v/>
      </c>
      <c r="AJ189" s="12">
        <f>IF(Datos!A189="","",IF(AI189&lt;=Parametros!$B$13,"A",IF(AI189&lt;=Parametros!$B$14,"B","C")))</f>
        <v/>
      </c>
      <c r="AK189" s="13">
        <f>IF(Datos!A189="","",VLOOKUP(AJ189,Parametros!$A$8:$C$10,2,FALSE))</f>
        <v/>
      </c>
      <c r="AL189">
        <f>IF(Datos!A189="","",VLOOKUP(AJ189,Parametros!$A$8:$C$10,3,FALSE))</f>
        <v/>
      </c>
      <c r="AM189">
        <f>IF(Datos!A189="","",NORMSINV(AK189))</f>
        <v/>
      </c>
      <c r="AN189">
        <f>IF(Datos!A189="","",D189/Parametros!$B$4)</f>
        <v/>
      </c>
      <c r="AO189">
        <f>IF(Datos!A189="","",MAX(0,ROUNDUP(AM189*(AN189*Parametros!$B$3)*SQRT((AL189+E189)),0)))</f>
        <v/>
      </c>
      <c r="AP189">
        <f>IF(Datos!A189="","",MAX(1,ROUNDUP(AN189*(AL189+E189)+AM189*(AN189*Parametros!$B$3)*SQRT((AL189+E189)),0)))</f>
        <v/>
      </c>
      <c r="AQ189">
        <f>IF(Datos!A189="","",IF(Datos!J189="","",Datos!J189))</f>
        <v/>
      </c>
      <c r="AR189">
        <f>IF(OR(Datos!A189="",AQ189=""),"",MAX(0,AQ189-AP189))</f>
        <v/>
      </c>
      <c r="AS189" s="10">
        <f>IF(OR(Datos!A189="",AQ189=""),"",AR189*C189)</f>
        <v/>
      </c>
      <c r="AT189" s="12">
        <f>IF(OR(Datos!A189="",AQ189=""),"",IF(AQ189&lt;AO189,"SI",""))</f>
        <v/>
      </c>
      <c r="AU189">
        <f>IF(Datos!A189="","",IF(AT189="SI","Reponer ahora",IF(AND(AQ189&lt;&gt;"",AR189&gt;0),"Bajar "&amp;TEXT(AR189,"#,##0")&amp;" un.","En rango")))</f>
        <v/>
      </c>
    </row>
    <row r="190">
      <c r="A190">
        <f>IF(Datos!A190="","",Datos!A190)</f>
        <v/>
      </c>
      <c r="B190">
        <f>IF(Datos!A190="","",Datos!B190)</f>
        <v/>
      </c>
      <c r="C190">
        <f>IF(Datos!A190="","",IFERROR(MAX(0,N(Datos!D190)),0))</f>
        <v/>
      </c>
      <c r="D190">
        <f>IF(Datos!A190="","",IFERROR(MAX(0,N(Datos!E190)),0))</f>
        <v/>
      </c>
      <c r="E190">
        <f>IF(Datos!A190="","",IFERROR(MAX(0,N(Datos!F190)),0))</f>
        <v/>
      </c>
      <c r="F190">
        <f>IF(Datos!A190="","",IFERROR(MAX(0,N(Datos!G190)),0))</f>
        <v/>
      </c>
      <c r="G190">
        <f>IF(Datos!A190="","",IFERROR(MAX(0,N(Datos!H190)),0))</f>
        <v/>
      </c>
      <c r="H190">
        <f>IF(Datos!A190="","",IFERROR(MAX(0,N(Datos!I190)),0))</f>
        <v/>
      </c>
      <c r="J190">
        <f>IF(Datos!A190="","",IF(MAX(C$2:C$301)-MIN(C$2:C$301)&lt;0.000000001,0.5,(C190-MIN(C$2:C$301))/(MAX(C$2:C$301)-MIN(C$2:C$301)))+0.000000001)</f>
        <v/>
      </c>
      <c r="K190">
        <f>IF(Datos!A190="","",IF(MAX(D$2:D$301)-MIN(D$2:D$301)&lt;0.000000001,0.5,(D190-MIN(D$2:D$301))/(MAX(D$2:D$301)-MIN(D$2:D$301)))+0.000000001)</f>
        <v/>
      </c>
      <c r="L190">
        <f>IF(Datos!A190="","",IF(MAX(E$2:E$301)-MIN(E$2:E$301)&lt;0.000000001,0.5,(E190-MIN(E$2:E$301))/(MAX(E$2:E$301)-MIN(E$2:E$301)))+0.000000001)</f>
        <v/>
      </c>
      <c r="M190">
        <f>IF(Datos!A190="","",IF(MAX(F$2:F$301)-MIN(F$2:F$301)&lt;0.000000001,0.5,(F190-MIN(F$2:F$301))/(MAX(F$2:F$301)-MIN(F$2:F$301)))+0.000000001)</f>
        <v/>
      </c>
      <c r="N190">
        <f>IF(Datos!A190="","",IF(MAX(G$2:G$301)-MIN(G$2:G$301)&lt;0.000000001,0.5,(G190-MIN(G$2:G$301))/(MAX(G$2:G$301)-MIN(G$2:G$301)))+0.000000001)</f>
        <v/>
      </c>
      <c r="O190">
        <f>IF(Datos!A190="","",IF(MAX(H$2:H$301)-MIN(H$2:H$301)&lt;0.000000001,0.5,(H190-MIN(H$2:H$301))/(MAX(H$2:H$301)-MIN(H$2:H$301)))+0.000000001)</f>
        <v/>
      </c>
      <c r="Q190">
        <f>IF(Datos!A190="","",(J190/SUM(J$2:J$301))*LN(J190/SUM(J$2:J$301)))</f>
        <v/>
      </c>
      <c r="R190">
        <f>IF(Datos!A190="","",(K190/SUM(K$2:K$301))*LN(K190/SUM(K$2:K$301)))</f>
        <v/>
      </c>
      <c r="S190">
        <f>IF(Datos!A190="","",(L190/SUM(L$2:L$301))*LN(L190/SUM(L$2:L$301)))</f>
        <v/>
      </c>
      <c r="T190">
        <f>IF(Datos!A190="","",(M190/SUM(M$2:M$301))*LN(M190/SUM(M$2:M$301)))</f>
        <v/>
      </c>
      <c r="U190">
        <f>IF(Datos!A190="","",(N190/SUM(N$2:N$301))*LN(N190/SUM(N$2:N$301)))</f>
        <v/>
      </c>
      <c r="V190">
        <f>IF(Datos!A190="","",(O190/SUM(O$2:O$301))*LN(O190/SUM(O$2:O$301)))</f>
        <v/>
      </c>
      <c r="X190">
        <f>IF(Datos!A190="","",IF(SUMSQ(C$2:C$301)=0,0,C190/SQRT(SUMSQ(C$2:C$301)))*$BE$2)</f>
        <v/>
      </c>
      <c r="Y190">
        <f>IF(Datos!A190="","",IF(SUMSQ(D$2:D$301)=0,0,D190/SQRT(SUMSQ(D$2:D$301)))*$BE$3)</f>
        <v/>
      </c>
      <c r="Z190">
        <f>IF(Datos!A190="","",IF(SUMSQ(E$2:E$301)=0,0,E190/SQRT(SUMSQ(E$2:E$301)))*$BE$4)</f>
        <v/>
      </c>
      <c r="AA190">
        <f>IF(Datos!A190="","",IF(SUMSQ(F$2:F$301)=0,0,F190/SQRT(SUMSQ(F$2:F$301)))*$BE$5)</f>
        <v/>
      </c>
      <c r="AB190">
        <f>IF(Datos!A190="","",IF(SUMSQ(G$2:G$301)=0,0,G190/SQRT(SUMSQ(G$2:G$301)))*$BE$6)</f>
        <v/>
      </c>
      <c r="AC190">
        <f>IF(Datos!A190="","",IF(SUMSQ(H$2:H$301)=0,0,H190/SQRT(SUMSQ(H$2:H$301)))*$BE$7)</f>
        <v/>
      </c>
      <c r="AE190">
        <f>IF(Datos!A190="","",SQRT(SUMXMY2(X190:AC190,$X$303:$AC$303)))</f>
        <v/>
      </c>
      <c r="AF190">
        <f>IF(Datos!A190="","",SQRT(SUMXMY2(X190:AC190,$X$304:$AC$304)))</f>
        <v/>
      </c>
      <c r="AG190" s="11">
        <f>IF(Datos!A190="","",IF(AE190+AF190&lt;0.000000001,0.5,AF190/(AE190+AF190)))</f>
        <v/>
      </c>
      <c r="AH190">
        <f>IF(Datos!A190="","",AG190*MAX(C190*D190,1))</f>
        <v/>
      </c>
      <c r="AI190">
        <f>IF(Datos!A190="","",SUMIF($AH$2:$AH$301,"&gt;="&amp;AH190,$AH$2:$AH$301)/SUM($AH$2:$AH$301))</f>
        <v/>
      </c>
      <c r="AJ190" s="12">
        <f>IF(Datos!A190="","",IF(AI190&lt;=Parametros!$B$13,"A",IF(AI190&lt;=Parametros!$B$14,"B","C")))</f>
        <v/>
      </c>
      <c r="AK190" s="13">
        <f>IF(Datos!A190="","",VLOOKUP(AJ190,Parametros!$A$8:$C$10,2,FALSE))</f>
        <v/>
      </c>
      <c r="AL190">
        <f>IF(Datos!A190="","",VLOOKUP(AJ190,Parametros!$A$8:$C$10,3,FALSE))</f>
        <v/>
      </c>
      <c r="AM190">
        <f>IF(Datos!A190="","",NORMSINV(AK190))</f>
        <v/>
      </c>
      <c r="AN190">
        <f>IF(Datos!A190="","",D190/Parametros!$B$4)</f>
        <v/>
      </c>
      <c r="AO190">
        <f>IF(Datos!A190="","",MAX(0,ROUNDUP(AM190*(AN190*Parametros!$B$3)*SQRT((AL190+E190)),0)))</f>
        <v/>
      </c>
      <c r="AP190">
        <f>IF(Datos!A190="","",MAX(1,ROUNDUP(AN190*(AL190+E190)+AM190*(AN190*Parametros!$B$3)*SQRT((AL190+E190)),0)))</f>
        <v/>
      </c>
      <c r="AQ190">
        <f>IF(Datos!A190="","",IF(Datos!J190="","",Datos!J190))</f>
        <v/>
      </c>
      <c r="AR190">
        <f>IF(OR(Datos!A190="",AQ190=""),"",MAX(0,AQ190-AP190))</f>
        <v/>
      </c>
      <c r="AS190" s="10">
        <f>IF(OR(Datos!A190="",AQ190=""),"",AR190*C190)</f>
        <v/>
      </c>
      <c r="AT190" s="12">
        <f>IF(OR(Datos!A190="",AQ190=""),"",IF(AQ190&lt;AO190,"SI",""))</f>
        <v/>
      </c>
      <c r="AU190">
        <f>IF(Datos!A190="","",IF(AT190="SI","Reponer ahora",IF(AND(AQ190&lt;&gt;"",AR190&gt;0),"Bajar "&amp;TEXT(AR190,"#,##0")&amp;" un.","En rango")))</f>
        <v/>
      </c>
    </row>
    <row r="191">
      <c r="A191">
        <f>IF(Datos!A191="","",Datos!A191)</f>
        <v/>
      </c>
      <c r="B191">
        <f>IF(Datos!A191="","",Datos!B191)</f>
        <v/>
      </c>
      <c r="C191">
        <f>IF(Datos!A191="","",IFERROR(MAX(0,N(Datos!D191)),0))</f>
        <v/>
      </c>
      <c r="D191">
        <f>IF(Datos!A191="","",IFERROR(MAX(0,N(Datos!E191)),0))</f>
        <v/>
      </c>
      <c r="E191">
        <f>IF(Datos!A191="","",IFERROR(MAX(0,N(Datos!F191)),0))</f>
        <v/>
      </c>
      <c r="F191">
        <f>IF(Datos!A191="","",IFERROR(MAX(0,N(Datos!G191)),0))</f>
        <v/>
      </c>
      <c r="G191">
        <f>IF(Datos!A191="","",IFERROR(MAX(0,N(Datos!H191)),0))</f>
        <v/>
      </c>
      <c r="H191">
        <f>IF(Datos!A191="","",IFERROR(MAX(0,N(Datos!I191)),0))</f>
        <v/>
      </c>
      <c r="J191">
        <f>IF(Datos!A191="","",IF(MAX(C$2:C$301)-MIN(C$2:C$301)&lt;0.000000001,0.5,(C191-MIN(C$2:C$301))/(MAX(C$2:C$301)-MIN(C$2:C$301)))+0.000000001)</f>
        <v/>
      </c>
      <c r="K191">
        <f>IF(Datos!A191="","",IF(MAX(D$2:D$301)-MIN(D$2:D$301)&lt;0.000000001,0.5,(D191-MIN(D$2:D$301))/(MAX(D$2:D$301)-MIN(D$2:D$301)))+0.000000001)</f>
        <v/>
      </c>
      <c r="L191">
        <f>IF(Datos!A191="","",IF(MAX(E$2:E$301)-MIN(E$2:E$301)&lt;0.000000001,0.5,(E191-MIN(E$2:E$301))/(MAX(E$2:E$301)-MIN(E$2:E$301)))+0.000000001)</f>
        <v/>
      </c>
      <c r="M191">
        <f>IF(Datos!A191="","",IF(MAX(F$2:F$301)-MIN(F$2:F$301)&lt;0.000000001,0.5,(F191-MIN(F$2:F$301))/(MAX(F$2:F$301)-MIN(F$2:F$301)))+0.000000001)</f>
        <v/>
      </c>
      <c r="N191">
        <f>IF(Datos!A191="","",IF(MAX(G$2:G$301)-MIN(G$2:G$301)&lt;0.000000001,0.5,(G191-MIN(G$2:G$301))/(MAX(G$2:G$301)-MIN(G$2:G$301)))+0.000000001)</f>
        <v/>
      </c>
      <c r="O191">
        <f>IF(Datos!A191="","",IF(MAX(H$2:H$301)-MIN(H$2:H$301)&lt;0.000000001,0.5,(H191-MIN(H$2:H$301))/(MAX(H$2:H$301)-MIN(H$2:H$301)))+0.000000001)</f>
        <v/>
      </c>
      <c r="Q191">
        <f>IF(Datos!A191="","",(J191/SUM(J$2:J$301))*LN(J191/SUM(J$2:J$301)))</f>
        <v/>
      </c>
      <c r="R191">
        <f>IF(Datos!A191="","",(K191/SUM(K$2:K$301))*LN(K191/SUM(K$2:K$301)))</f>
        <v/>
      </c>
      <c r="S191">
        <f>IF(Datos!A191="","",(L191/SUM(L$2:L$301))*LN(L191/SUM(L$2:L$301)))</f>
        <v/>
      </c>
      <c r="T191">
        <f>IF(Datos!A191="","",(M191/SUM(M$2:M$301))*LN(M191/SUM(M$2:M$301)))</f>
        <v/>
      </c>
      <c r="U191">
        <f>IF(Datos!A191="","",(N191/SUM(N$2:N$301))*LN(N191/SUM(N$2:N$301)))</f>
        <v/>
      </c>
      <c r="V191">
        <f>IF(Datos!A191="","",(O191/SUM(O$2:O$301))*LN(O191/SUM(O$2:O$301)))</f>
        <v/>
      </c>
      <c r="X191">
        <f>IF(Datos!A191="","",IF(SUMSQ(C$2:C$301)=0,0,C191/SQRT(SUMSQ(C$2:C$301)))*$BE$2)</f>
        <v/>
      </c>
      <c r="Y191">
        <f>IF(Datos!A191="","",IF(SUMSQ(D$2:D$301)=0,0,D191/SQRT(SUMSQ(D$2:D$301)))*$BE$3)</f>
        <v/>
      </c>
      <c r="Z191">
        <f>IF(Datos!A191="","",IF(SUMSQ(E$2:E$301)=0,0,E191/SQRT(SUMSQ(E$2:E$301)))*$BE$4)</f>
        <v/>
      </c>
      <c r="AA191">
        <f>IF(Datos!A191="","",IF(SUMSQ(F$2:F$301)=0,0,F191/SQRT(SUMSQ(F$2:F$301)))*$BE$5)</f>
        <v/>
      </c>
      <c r="AB191">
        <f>IF(Datos!A191="","",IF(SUMSQ(G$2:G$301)=0,0,G191/SQRT(SUMSQ(G$2:G$301)))*$BE$6)</f>
        <v/>
      </c>
      <c r="AC191">
        <f>IF(Datos!A191="","",IF(SUMSQ(H$2:H$301)=0,0,H191/SQRT(SUMSQ(H$2:H$301)))*$BE$7)</f>
        <v/>
      </c>
      <c r="AE191">
        <f>IF(Datos!A191="","",SQRT(SUMXMY2(X191:AC191,$X$303:$AC$303)))</f>
        <v/>
      </c>
      <c r="AF191">
        <f>IF(Datos!A191="","",SQRT(SUMXMY2(X191:AC191,$X$304:$AC$304)))</f>
        <v/>
      </c>
      <c r="AG191" s="11">
        <f>IF(Datos!A191="","",IF(AE191+AF191&lt;0.000000001,0.5,AF191/(AE191+AF191)))</f>
        <v/>
      </c>
      <c r="AH191">
        <f>IF(Datos!A191="","",AG191*MAX(C191*D191,1))</f>
        <v/>
      </c>
      <c r="AI191">
        <f>IF(Datos!A191="","",SUMIF($AH$2:$AH$301,"&gt;="&amp;AH191,$AH$2:$AH$301)/SUM($AH$2:$AH$301))</f>
        <v/>
      </c>
      <c r="AJ191" s="12">
        <f>IF(Datos!A191="","",IF(AI191&lt;=Parametros!$B$13,"A",IF(AI191&lt;=Parametros!$B$14,"B","C")))</f>
        <v/>
      </c>
      <c r="AK191" s="13">
        <f>IF(Datos!A191="","",VLOOKUP(AJ191,Parametros!$A$8:$C$10,2,FALSE))</f>
        <v/>
      </c>
      <c r="AL191">
        <f>IF(Datos!A191="","",VLOOKUP(AJ191,Parametros!$A$8:$C$10,3,FALSE))</f>
        <v/>
      </c>
      <c r="AM191">
        <f>IF(Datos!A191="","",NORMSINV(AK191))</f>
        <v/>
      </c>
      <c r="AN191">
        <f>IF(Datos!A191="","",D191/Parametros!$B$4)</f>
        <v/>
      </c>
      <c r="AO191">
        <f>IF(Datos!A191="","",MAX(0,ROUNDUP(AM191*(AN191*Parametros!$B$3)*SQRT((AL191+E191)),0)))</f>
        <v/>
      </c>
      <c r="AP191">
        <f>IF(Datos!A191="","",MAX(1,ROUNDUP(AN191*(AL191+E191)+AM191*(AN191*Parametros!$B$3)*SQRT((AL191+E191)),0)))</f>
        <v/>
      </c>
      <c r="AQ191">
        <f>IF(Datos!A191="","",IF(Datos!J191="","",Datos!J191))</f>
        <v/>
      </c>
      <c r="AR191">
        <f>IF(OR(Datos!A191="",AQ191=""),"",MAX(0,AQ191-AP191))</f>
        <v/>
      </c>
      <c r="AS191" s="10">
        <f>IF(OR(Datos!A191="",AQ191=""),"",AR191*C191)</f>
        <v/>
      </c>
      <c r="AT191" s="12">
        <f>IF(OR(Datos!A191="",AQ191=""),"",IF(AQ191&lt;AO191,"SI",""))</f>
        <v/>
      </c>
      <c r="AU191">
        <f>IF(Datos!A191="","",IF(AT191="SI","Reponer ahora",IF(AND(AQ191&lt;&gt;"",AR191&gt;0),"Bajar "&amp;TEXT(AR191,"#,##0")&amp;" un.","En rango")))</f>
        <v/>
      </c>
    </row>
    <row r="192">
      <c r="A192">
        <f>IF(Datos!A192="","",Datos!A192)</f>
        <v/>
      </c>
      <c r="B192">
        <f>IF(Datos!A192="","",Datos!B192)</f>
        <v/>
      </c>
      <c r="C192">
        <f>IF(Datos!A192="","",IFERROR(MAX(0,N(Datos!D192)),0))</f>
        <v/>
      </c>
      <c r="D192">
        <f>IF(Datos!A192="","",IFERROR(MAX(0,N(Datos!E192)),0))</f>
        <v/>
      </c>
      <c r="E192">
        <f>IF(Datos!A192="","",IFERROR(MAX(0,N(Datos!F192)),0))</f>
        <v/>
      </c>
      <c r="F192">
        <f>IF(Datos!A192="","",IFERROR(MAX(0,N(Datos!G192)),0))</f>
        <v/>
      </c>
      <c r="G192">
        <f>IF(Datos!A192="","",IFERROR(MAX(0,N(Datos!H192)),0))</f>
        <v/>
      </c>
      <c r="H192">
        <f>IF(Datos!A192="","",IFERROR(MAX(0,N(Datos!I192)),0))</f>
        <v/>
      </c>
      <c r="J192">
        <f>IF(Datos!A192="","",IF(MAX(C$2:C$301)-MIN(C$2:C$301)&lt;0.000000001,0.5,(C192-MIN(C$2:C$301))/(MAX(C$2:C$301)-MIN(C$2:C$301)))+0.000000001)</f>
        <v/>
      </c>
      <c r="K192">
        <f>IF(Datos!A192="","",IF(MAX(D$2:D$301)-MIN(D$2:D$301)&lt;0.000000001,0.5,(D192-MIN(D$2:D$301))/(MAX(D$2:D$301)-MIN(D$2:D$301)))+0.000000001)</f>
        <v/>
      </c>
      <c r="L192">
        <f>IF(Datos!A192="","",IF(MAX(E$2:E$301)-MIN(E$2:E$301)&lt;0.000000001,0.5,(E192-MIN(E$2:E$301))/(MAX(E$2:E$301)-MIN(E$2:E$301)))+0.000000001)</f>
        <v/>
      </c>
      <c r="M192">
        <f>IF(Datos!A192="","",IF(MAX(F$2:F$301)-MIN(F$2:F$301)&lt;0.000000001,0.5,(F192-MIN(F$2:F$301))/(MAX(F$2:F$301)-MIN(F$2:F$301)))+0.000000001)</f>
        <v/>
      </c>
      <c r="N192">
        <f>IF(Datos!A192="","",IF(MAX(G$2:G$301)-MIN(G$2:G$301)&lt;0.000000001,0.5,(G192-MIN(G$2:G$301))/(MAX(G$2:G$301)-MIN(G$2:G$301)))+0.000000001)</f>
        <v/>
      </c>
      <c r="O192">
        <f>IF(Datos!A192="","",IF(MAX(H$2:H$301)-MIN(H$2:H$301)&lt;0.000000001,0.5,(H192-MIN(H$2:H$301))/(MAX(H$2:H$301)-MIN(H$2:H$301)))+0.000000001)</f>
        <v/>
      </c>
      <c r="Q192">
        <f>IF(Datos!A192="","",(J192/SUM(J$2:J$301))*LN(J192/SUM(J$2:J$301)))</f>
        <v/>
      </c>
      <c r="R192">
        <f>IF(Datos!A192="","",(K192/SUM(K$2:K$301))*LN(K192/SUM(K$2:K$301)))</f>
        <v/>
      </c>
      <c r="S192">
        <f>IF(Datos!A192="","",(L192/SUM(L$2:L$301))*LN(L192/SUM(L$2:L$301)))</f>
        <v/>
      </c>
      <c r="T192">
        <f>IF(Datos!A192="","",(M192/SUM(M$2:M$301))*LN(M192/SUM(M$2:M$301)))</f>
        <v/>
      </c>
      <c r="U192">
        <f>IF(Datos!A192="","",(N192/SUM(N$2:N$301))*LN(N192/SUM(N$2:N$301)))</f>
        <v/>
      </c>
      <c r="V192">
        <f>IF(Datos!A192="","",(O192/SUM(O$2:O$301))*LN(O192/SUM(O$2:O$301)))</f>
        <v/>
      </c>
      <c r="X192">
        <f>IF(Datos!A192="","",IF(SUMSQ(C$2:C$301)=0,0,C192/SQRT(SUMSQ(C$2:C$301)))*$BE$2)</f>
        <v/>
      </c>
      <c r="Y192">
        <f>IF(Datos!A192="","",IF(SUMSQ(D$2:D$301)=0,0,D192/SQRT(SUMSQ(D$2:D$301)))*$BE$3)</f>
        <v/>
      </c>
      <c r="Z192">
        <f>IF(Datos!A192="","",IF(SUMSQ(E$2:E$301)=0,0,E192/SQRT(SUMSQ(E$2:E$301)))*$BE$4)</f>
        <v/>
      </c>
      <c r="AA192">
        <f>IF(Datos!A192="","",IF(SUMSQ(F$2:F$301)=0,0,F192/SQRT(SUMSQ(F$2:F$301)))*$BE$5)</f>
        <v/>
      </c>
      <c r="AB192">
        <f>IF(Datos!A192="","",IF(SUMSQ(G$2:G$301)=0,0,G192/SQRT(SUMSQ(G$2:G$301)))*$BE$6)</f>
        <v/>
      </c>
      <c r="AC192">
        <f>IF(Datos!A192="","",IF(SUMSQ(H$2:H$301)=0,0,H192/SQRT(SUMSQ(H$2:H$301)))*$BE$7)</f>
        <v/>
      </c>
      <c r="AE192">
        <f>IF(Datos!A192="","",SQRT(SUMXMY2(X192:AC192,$X$303:$AC$303)))</f>
        <v/>
      </c>
      <c r="AF192">
        <f>IF(Datos!A192="","",SQRT(SUMXMY2(X192:AC192,$X$304:$AC$304)))</f>
        <v/>
      </c>
      <c r="AG192" s="11">
        <f>IF(Datos!A192="","",IF(AE192+AF192&lt;0.000000001,0.5,AF192/(AE192+AF192)))</f>
        <v/>
      </c>
      <c r="AH192">
        <f>IF(Datos!A192="","",AG192*MAX(C192*D192,1))</f>
        <v/>
      </c>
      <c r="AI192">
        <f>IF(Datos!A192="","",SUMIF($AH$2:$AH$301,"&gt;="&amp;AH192,$AH$2:$AH$301)/SUM($AH$2:$AH$301))</f>
        <v/>
      </c>
      <c r="AJ192" s="12">
        <f>IF(Datos!A192="","",IF(AI192&lt;=Parametros!$B$13,"A",IF(AI192&lt;=Parametros!$B$14,"B","C")))</f>
        <v/>
      </c>
      <c r="AK192" s="13">
        <f>IF(Datos!A192="","",VLOOKUP(AJ192,Parametros!$A$8:$C$10,2,FALSE))</f>
        <v/>
      </c>
      <c r="AL192">
        <f>IF(Datos!A192="","",VLOOKUP(AJ192,Parametros!$A$8:$C$10,3,FALSE))</f>
        <v/>
      </c>
      <c r="AM192">
        <f>IF(Datos!A192="","",NORMSINV(AK192))</f>
        <v/>
      </c>
      <c r="AN192">
        <f>IF(Datos!A192="","",D192/Parametros!$B$4)</f>
        <v/>
      </c>
      <c r="AO192">
        <f>IF(Datos!A192="","",MAX(0,ROUNDUP(AM192*(AN192*Parametros!$B$3)*SQRT((AL192+E192)),0)))</f>
        <v/>
      </c>
      <c r="AP192">
        <f>IF(Datos!A192="","",MAX(1,ROUNDUP(AN192*(AL192+E192)+AM192*(AN192*Parametros!$B$3)*SQRT((AL192+E192)),0)))</f>
        <v/>
      </c>
      <c r="AQ192">
        <f>IF(Datos!A192="","",IF(Datos!J192="","",Datos!J192))</f>
        <v/>
      </c>
      <c r="AR192">
        <f>IF(OR(Datos!A192="",AQ192=""),"",MAX(0,AQ192-AP192))</f>
        <v/>
      </c>
      <c r="AS192" s="10">
        <f>IF(OR(Datos!A192="",AQ192=""),"",AR192*C192)</f>
        <v/>
      </c>
      <c r="AT192" s="12">
        <f>IF(OR(Datos!A192="",AQ192=""),"",IF(AQ192&lt;AO192,"SI",""))</f>
        <v/>
      </c>
      <c r="AU192">
        <f>IF(Datos!A192="","",IF(AT192="SI","Reponer ahora",IF(AND(AQ192&lt;&gt;"",AR192&gt;0),"Bajar "&amp;TEXT(AR192,"#,##0")&amp;" un.","En rango")))</f>
        <v/>
      </c>
    </row>
    <row r="193">
      <c r="A193">
        <f>IF(Datos!A193="","",Datos!A193)</f>
        <v/>
      </c>
      <c r="B193">
        <f>IF(Datos!A193="","",Datos!B193)</f>
        <v/>
      </c>
      <c r="C193">
        <f>IF(Datos!A193="","",IFERROR(MAX(0,N(Datos!D193)),0))</f>
        <v/>
      </c>
      <c r="D193">
        <f>IF(Datos!A193="","",IFERROR(MAX(0,N(Datos!E193)),0))</f>
        <v/>
      </c>
      <c r="E193">
        <f>IF(Datos!A193="","",IFERROR(MAX(0,N(Datos!F193)),0))</f>
        <v/>
      </c>
      <c r="F193">
        <f>IF(Datos!A193="","",IFERROR(MAX(0,N(Datos!G193)),0))</f>
        <v/>
      </c>
      <c r="G193">
        <f>IF(Datos!A193="","",IFERROR(MAX(0,N(Datos!H193)),0))</f>
        <v/>
      </c>
      <c r="H193">
        <f>IF(Datos!A193="","",IFERROR(MAX(0,N(Datos!I193)),0))</f>
        <v/>
      </c>
      <c r="J193">
        <f>IF(Datos!A193="","",IF(MAX(C$2:C$301)-MIN(C$2:C$301)&lt;0.000000001,0.5,(C193-MIN(C$2:C$301))/(MAX(C$2:C$301)-MIN(C$2:C$301)))+0.000000001)</f>
        <v/>
      </c>
      <c r="K193">
        <f>IF(Datos!A193="","",IF(MAX(D$2:D$301)-MIN(D$2:D$301)&lt;0.000000001,0.5,(D193-MIN(D$2:D$301))/(MAX(D$2:D$301)-MIN(D$2:D$301)))+0.000000001)</f>
        <v/>
      </c>
      <c r="L193">
        <f>IF(Datos!A193="","",IF(MAX(E$2:E$301)-MIN(E$2:E$301)&lt;0.000000001,0.5,(E193-MIN(E$2:E$301))/(MAX(E$2:E$301)-MIN(E$2:E$301)))+0.000000001)</f>
        <v/>
      </c>
      <c r="M193">
        <f>IF(Datos!A193="","",IF(MAX(F$2:F$301)-MIN(F$2:F$301)&lt;0.000000001,0.5,(F193-MIN(F$2:F$301))/(MAX(F$2:F$301)-MIN(F$2:F$301)))+0.000000001)</f>
        <v/>
      </c>
      <c r="N193">
        <f>IF(Datos!A193="","",IF(MAX(G$2:G$301)-MIN(G$2:G$301)&lt;0.000000001,0.5,(G193-MIN(G$2:G$301))/(MAX(G$2:G$301)-MIN(G$2:G$301)))+0.000000001)</f>
        <v/>
      </c>
      <c r="O193">
        <f>IF(Datos!A193="","",IF(MAX(H$2:H$301)-MIN(H$2:H$301)&lt;0.000000001,0.5,(H193-MIN(H$2:H$301))/(MAX(H$2:H$301)-MIN(H$2:H$301)))+0.000000001)</f>
        <v/>
      </c>
      <c r="Q193">
        <f>IF(Datos!A193="","",(J193/SUM(J$2:J$301))*LN(J193/SUM(J$2:J$301)))</f>
        <v/>
      </c>
      <c r="R193">
        <f>IF(Datos!A193="","",(K193/SUM(K$2:K$301))*LN(K193/SUM(K$2:K$301)))</f>
        <v/>
      </c>
      <c r="S193">
        <f>IF(Datos!A193="","",(L193/SUM(L$2:L$301))*LN(L193/SUM(L$2:L$301)))</f>
        <v/>
      </c>
      <c r="T193">
        <f>IF(Datos!A193="","",(M193/SUM(M$2:M$301))*LN(M193/SUM(M$2:M$301)))</f>
        <v/>
      </c>
      <c r="U193">
        <f>IF(Datos!A193="","",(N193/SUM(N$2:N$301))*LN(N193/SUM(N$2:N$301)))</f>
        <v/>
      </c>
      <c r="V193">
        <f>IF(Datos!A193="","",(O193/SUM(O$2:O$301))*LN(O193/SUM(O$2:O$301)))</f>
        <v/>
      </c>
      <c r="X193">
        <f>IF(Datos!A193="","",IF(SUMSQ(C$2:C$301)=0,0,C193/SQRT(SUMSQ(C$2:C$301)))*$BE$2)</f>
        <v/>
      </c>
      <c r="Y193">
        <f>IF(Datos!A193="","",IF(SUMSQ(D$2:D$301)=0,0,D193/SQRT(SUMSQ(D$2:D$301)))*$BE$3)</f>
        <v/>
      </c>
      <c r="Z193">
        <f>IF(Datos!A193="","",IF(SUMSQ(E$2:E$301)=0,0,E193/SQRT(SUMSQ(E$2:E$301)))*$BE$4)</f>
        <v/>
      </c>
      <c r="AA193">
        <f>IF(Datos!A193="","",IF(SUMSQ(F$2:F$301)=0,0,F193/SQRT(SUMSQ(F$2:F$301)))*$BE$5)</f>
        <v/>
      </c>
      <c r="AB193">
        <f>IF(Datos!A193="","",IF(SUMSQ(G$2:G$301)=0,0,G193/SQRT(SUMSQ(G$2:G$301)))*$BE$6)</f>
        <v/>
      </c>
      <c r="AC193">
        <f>IF(Datos!A193="","",IF(SUMSQ(H$2:H$301)=0,0,H193/SQRT(SUMSQ(H$2:H$301)))*$BE$7)</f>
        <v/>
      </c>
      <c r="AE193">
        <f>IF(Datos!A193="","",SQRT(SUMXMY2(X193:AC193,$X$303:$AC$303)))</f>
        <v/>
      </c>
      <c r="AF193">
        <f>IF(Datos!A193="","",SQRT(SUMXMY2(X193:AC193,$X$304:$AC$304)))</f>
        <v/>
      </c>
      <c r="AG193" s="11">
        <f>IF(Datos!A193="","",IF(AE193+AF193&lt;0.000000001,0.5,AF193/(AE193+AF193)))</f>
        <v/>
      </c>
      <c r="AH193">
        <f>IF(Datos!A193="","",AG193*MAX(C193*D193,1))</f>
        <v/>
      </c>
      <c r="AI193">
        <f>IF(Datos!A193="","",SUMIF($AH$2:$AH$301,"&gt;="&amp;AH193,$AH$2:$AH$301)/SUM($AH$2:$AH$301))</f>
        <v/>
      </c>
      <c r="AJ193" s="12">
        <f>IF(Datos!A193="","",IF(AI193&lt;=Parametros!$B$13,"A",IF(AI193&lt;=Parametros!$B$14,"B","C")))</f>
        <v/>
      </c>
      <c r="AK193" s="13">
        <f>IF(Datos!A193="","",VLOOKUP(AJ193,Parametros!$A$8:$C$10,2,FALSE))</f>
        <v/>
      </c>
      <c r="AL193">
        <f>IF(Datos!A193="","",VLOOKUP(AJ193,Parametros!$A$8:$C$10,3,FALSE))</f>
        <v/>
      </c>
      <c r="AM193">
        <f>IF(Datos!A193="","",NORMSINV(AK193))</f>
        <v/>
      </c>
      <c r="AN193">
        <f>IF(Datos!A193="","",D193/Parametros!$B$4)</f>
        <v/>
      </c>
      <c r="AO193">
        <f>IF(Datos!A193="","",MAX(0,ROUNDUP(AM193*(AN193*Parametros!$B$3)*SQRT((AL193+E193)),0)))</f>
        <v/>
      </c>
      <c r="AP193">
        <f>IF(Datos!A193="","",MAX(1,ROUNDUP(AN193*(AL193+E193)+AM193*(AN193*Parametros!$B$3)*SQRT((AL193+E193)),0)))</f>
        <v/>
      </c>
      <c r="AQ193">
        <f>IF(Datos!A193="","",IF(Datos!J193="","",Datos!J193))</f>
        <v/>
      </c>
      <c r="AR193">
        <f>IF(OR(Datos!A193="",AQ193=""),"",MAX(0,AQ193-AP193))</f>
        <v/>
      </c>
      <c r="AS193" s="10">
        <f>IF(OR(Datos!A193="",AQ193=""),"",AR193*C193)</f>
        <v/>
      </c>
      <c r="AT193" s="12">
        <f>IF(OR(Datos!A193="",AQ193=""),"",IF(AQ193&lt;AO193,"SI",""))</f>
        <v/>
      </c>
      <c r="AU193">
        <f>IF(Datos!A193="","",IF(AT193="SI","Reponer ahora",IF(AND(AQ193&lt;&gt;"",AR193&gt;0),"Bajar "&amp;TEXT(AR193,"#,##0")&amp;" un.","En rango")))</f>
        <v/>
      </c>
    </row>
    <row r="194">
      <c r="A194">
        <f>IF(Datos!A194="","",Datos!A194)</f>
        <v/>
      </c>
      <c r="B194">
        <f>IF(Datos!A194="","",Datos!B194)</f>
        <v/>
      </c>
      <c r="C194">
        <f>IF(Datos!A194="","",IFERROR(MAX(0,N(Datos!D194)),0))</f>
        <v/>
      </c>
      <c r="D194">
        <f>IF(Datos!A194="","",IFERROR(MAX(0,N(Datos!E194)),0))</f>
        <v/>
      </c>
      <c r="E194">
        <f>IF(Datos!A194="","",IFERROR(MAX(0,N(Datos!F194)),0))</f>
        <v/>
      </c>
      <c r="F194">
        <f>IF(Datos!A194="","",IFERROR(MAX(0,N(Datos!G194)),0))</f>
        <v/>
      </c>
      <c r="G194">
        <f>IF(Datos!A194="","",IFERROR(MAX(0,N(Datos!H194)),0))</f>
        <v/>
      </c>
      <c r="H194">
        <f>IF(Datos!A194="","",IFERROR(MAX(0,N(Datos!I194)),0))</f>
        <v/>
      </c>
      <c r="J194">
        <f>IF(Datos!A194="","",IF(MAX(C$2:C$301)-MIN(C$2:C$301)&lt;0.000000001,0.5,(C194-MIN(C$2:C$301))/(MAX(C$2:C$301)-MIN(C$2:C$301)))+0.000000001)</f>
        <v/>
      </c>
      <c r="K194">
        <f>IF(Datos!A194="","",IF(MAX(D$2:D$301)-MIN(D$2:D$301)&lt;0.000000001,0.5,(D194-MIN(D$2:D$301))/(MAX(D$2:D$301)-MIN(D$2:D$301)))+0.000000001)</f>
        <v/>
      </c>
      <c r="L194">
        <f>IF(Datos!A194="","",IF(MAX(E$2:E$301)-MIN(E$2:E$301)&lt;0.000000001,0.5,(E194-MIN(E$2:E$301))/(MAX(E$2:E$301)-MIN(E$2:E$301)))+0.000000001)</f>
        <v/>
      </c>
      <c r="M194">
        <f>IF(Datos!A194="","",IF(MAX(F$2:F$301)-MIN(F$2:F$301)&lt;0.000000001,0.5,(F194-MIN(F$2:F$301))/(MAX(F$2:F$301)-MIN(F$2:F$301)))+0.000000001)</f>
        <v/>
      </c>
      <c r="N194">
        <f>IF(Datos!A194="","",IF(MAX(G$2:G$301)-MIN(G$2:G$301)&lt;0.000000001,0.5,(G194-MIN(G$2:G$301))/(MAX(G$2:G$301)-MIN(G$2:G$301)))+0.000000001)</f>
        <v/>
      </c>
      <c r="O194">
        <f>IF(Datos!A194="","",IF(MAX(H$2:H$301)-MIN(H$2:H$301)&lt;0.000000001,0.5,(H194-MIN(H$2:H$301))/(MAX(H$2:H$301)-MIN(H$2:H$301)))+0.000000001)</f>
        <v/>
      </c>
      <c r="Q194">
        <f>IF(Datos!A194="","",(J194/SUM(J$2:J$301))*LN(J194/SUM(J$2:J$301)))</f>
        <v/>
      </c>
      <c r="R194">
        <f>IF(Datos!A194="","",(K194/SUM(K$2:K$301))*LN(K194/SUM(K$2:K$301)))</f>
        <v/>
      </c>
      <c r="S194">
        <f>IF(Datos!A194="","",(L194/SUM(L$2:L$301))*LN(L194/SUM(L$2:L$301)))</f>
        <v/>
      </c>
      <c r="T194">
        <f>IF(Datos!A194="","",(M194/SUM(M$2:M$301))*LN(M194/SUM(M$2:M$301)))</f>
        <v/>
      </c>
      <c r="U194">
        <f>IF(Datos!A194="","",(N194/SUM(N$2:N$301))*LN(N194/SUM(N$2:N$301)))</f>
        <v/>
      </c>
      <c r="V194">
        <f>IF(Datos!A194="","",(O194/SUM(O$2:O$301))*LN(O194/SUM(O$2:O$301)))</f>
        <v/>
      </c>
      <c r="X194">
        <f>IF(Datos!A194="","",IF(SUMSQ(C$2:C$301)=0,0,C194/SQRT(SUMSQ(C$2:C$301)))*$BE$2)</f>
        <v/>
      </c>
      <c r="Y194">
        <f>IF(Datos!A194="","",IF(SUMSQ(D$2:D$301)=0,0,D194/SQRT(SUMSQ(D$2:D$301)))*$BE$3)</f>
        <v/>
      </c>
      <c r="Z194">
        <f>IF(Datos!A194="","",IF(SUMSQ(E$2:E$301)=0,0,E194/SQRT(SUMSQ(E$2:E$301)))*$BE$4)</f>
        <v/>
      </c>
      <c r="AA194">
        <f>IF(Datos!A194="","",IF(SUMSQ(F$2:F$301)=0,0,F194/SQRT(SUMSQ(F$2:F$301)))*$BE$5)</f>
        <v/>
      </c>
      <c r="AB194">
        <f>IF(Datos!A194="","",IF(SUMSQ(G$2:G$301)=0,0,G194/SQRT(SUMSQ(G$2:G$301)))*$BE$6)</f>
        <v/>
      </c>
      <c r="AC194">
        <f>IF(Datos!A194="","",IF(SUMSQ(H$2:H$301)=0,0,H194/SQRT(SUMSQ(H$2:H$301)))*$BE$7)</f>
        <v/>
      </c>
      <c r="AE194">
        <f>IF(Datos!A194="","",SQRT(SUMXMY2(X194:AC194,$X$303:$AC$303)))</f>
        <v/>
      </c>
      <c r="AF194">
        <f>IF(Datos!A194="","",SQRT(SUMXMY2(X194:AC194,$X$304:$AC$304)))</f>
        <v/>
      </c>
      <c r="AG194" s="11">
        <f>IF(Datos!A194="","",IF(AE194+AF194&lt;0.000000001,0.5,AF194/(AE194+AF194)))</f>
        <v/>
      </c>
      <c r="AH194">
        <f>IF(Datos!A194="","",AG194*MAX(C194*D194,1))</f>
        <v/>
      </c>
      <c r="AI194">
        <f>IF(Datos!A194="","",SUMIF($AH$2:$AH$301,"&gt;="&amp;AH194,$AH$2:$AH$301)/SUM($AH$2:$AH$301))</f>
        <v/>
      </c>
      <c r="AJ194" s="12">
        <f>IF(Datos!A194="","",IF(AI194&lt;=Parametros!$B$13,"A",IF(AI194&lt;=Parametros!$B$14,"B","C")))</f>
        <v/>
      </c>
      <c r="AK194" s="13">
        <f>IF(Datos!A194="","",VLOOKUP(AJ194,Parametros!$A$8:$C$10,2,FALSE))</f>
        <v/>
      </c>
      <c r="AL194">
        <f>IF(Datos!A194="","",VLOOKUP(AJ194,Parametros!$A$8:$C$10,3,FALSE))</f>
        <v/>
      </c>
      <c r="AM194">
        <f>IF(Datos!A194="","",NORMSINV(AK194))</f>
        <v/>
      </c>
      <c r="AN194">
        <f>IF(Datos!A194="","",D194/Parametros!$B$4)</f>
        <v/>
      </c>
      <c r="AO194">
        <f>IF(Datos!A194="","",MAX(0,ROUNDUP(AM194*(AN194*Parametros!$B$3)*SQRT((AL194+E194)),0)))</f>
        <v/>
      </c>
      <c r="AP194">
        <f>IF(Datos!A194="","",MAX(1,ROUNDUP(AN194*(AL194+E194)+AM194*(AN194*Parametros!$B$3)*SQRT((AL194+E194)),0)))</f>
        <v/>
      </c>
      <c r="AQ194">
        <f>IF(Datos!A194="","",IF(Datos!J194="","",Datos!J194))</f>
        <v/>
      </c>
      <c r="AR194">
        <f>IF(OR(Datos!A194="",AQ194=""),"",MAX(0,AQ194-AP194))</f>
        <v/>
      </c>
      <c r="AS194" s="10">
        <f>IF(OR(Datos!A194="",AQ194=""),"",AR194*C194)</f>
        <v/>
      </c>
      <c r="AT194" s="12">
        <f>IF(OR(Datos!A194="",AQ194=""),"",IF(AQ194&lt;AO194,"SI",""))</f>
        <v/>
      </c>
      <c r="AU194">
        <f>IF(Datos!A194="","",IF(AT194="SI","Reponer ahora",IF(AND(AQ194&lt;&gt;"",AR194&gt;0),"Bajar "&amp;TEXT(AR194,"#,##0")&amp;" un.","En rango")))</f>
        <v/>
      </c>
    </row>
    <row r="195">
      <c r="A195">
        <f>IF(Datos!A195="","",Datos!A195)</f>
        <v/>
      </c>
      <c r="B195">
        <f>IF(Datos!A195="","",Datos!B195)</f>
        <v/>
      </c>
      <c r="C195">
        <f>IF(Datos!A195="","",IFERROR(MAX(0,N(Datos!D195)),0))</f>
        <v/>
      </c>
      <c r="D195">
        <f>IF(Datos!A195="","",IFERROR(MAX(0,N(Datos!E195)),0))</f>
        <v/>
      </c>
      <c r="E195">
        <f>IF(Datos!A195="","",IFERROR(MAX(0,N(Datos!F195)),0))</f>
        <v/>
      </c>
      <c r="F195">
        <f>IF(Datos!A195="","",IFERROR(MAX(0,N(Datos!G195)),0))</f>
        <v/>
      </c>
      <c r="G195">
        <f>IF(Datos!A195="","",IFERROR(MAX(0,N(Datos!H195)),0))</f>
        <v/>
      </c>
      <c r="H195">
        <f>IF(Datos!A195="","",IFERROR(MAX(0,N(Datos!I195)),0))</f>
        <v/>
      </c>
      <c r="J195">
        <f>IF(Datos!A195="","",IF(MAX(C$2:C$301)-MIN(C$2:C$301)&lt;0.000000001,0.5,(C195-MIN(C$2:C$301))/(MAX(C$2:C$301)-MIN(C$2:C$301)))+0.000000001)</f>
        <v/>
      </c>
      <c r="K195">
        <f>IF(Datos!A195="","",IF(MAX(D$2:D$301)-MIN(D$2:D$301)&lt;0.000000001,0.5,(D195-MIN(D$2:D$301))/(MAX(D$2:D$301)-MIN(D$2:D$301)))+0.000000001)</f>
        <v/>
      </c>
      <c r="L195">
        <f>IF(Datos!A195="","",IF(MAX(E$2:E$301)-MIN(E$2:E$301)&lt;0.000000001,0.5,(E195-MIN(E$2:E$301))/(MAX(E$2:E$301)-MIN(E$2:E$301)))+0.000000001)</f>
        <v/>
      </c>
      <c r="M195">
        <f>IF(Datos!A195="","",IF(MAX(F$2:F$301)-MIN(F$2:F$301)&lt;0.000000001,0.5,(F195-MIN(F$2:F$301))/(MAX(F$2:F$301)-MIN(F$2:F$301)))+0.000000001)</f>
        <v/>
      </c>
      <c r="N195">
        <f>IF(Datos!A195="","",IF(MAX(G$2:G$301)-MIN(G$2:G$301)&lt;0.000000001,0.5,(G195-MIN(G$2:G$301))/(MAX(G$2:G$301)-MIN(G$2:G$301)))+0.000000001)</f>
        <v/>
      </c>
      <c r="O195">
        <f>IF(Datos!A195="","",IF(MAX(H$2:H$301)-MIN(H$2:H$301)&lt;0.000000001,0.5,(H195-MIN(H$2:H$301))/(MAX(H$2:H$301)-MIN(H$2:H$301)))+0.000000001)</f>
        <v/>
      </c>
      <c r="Q195">
        <f>IF(Datos!A195="","",(J195/SUM(J$2:J$301))*LN(J195/SUM(J$2:J$301)))</f>
        <v/>
      </c>
      <c r="R195">
        <f>IF(Datos!A195="","",(K195/SUM(K$2:K$301))*LN(K195/SUM(K$2:K$301)))</f>
        <v/>
      </c>
      <c r="S195">
        <f>IF(Datos!A195="","",(L195/SUM(L$2:L$301))*LN(L195/SUM(L$2:L$301)))</f>
        <v/>
      </c>
      <c r="T195">
        <f>IF(Datos!A195="","",(M195/SUM(M$2:M$301))*LN(M195/SUM(M$2:M$301)))</f>
        <v/>
      </c>
      <c r="U195">
        <f>IF(Datos!A195="","",(N195/SUM(N$2:N$301))*LN(N195/SUM(N$2:N$301)))</f>
        <v/>
      </c>
      <c r="V195">
        <f>IF(Datos!A195="","",(O195/SUM(O$2:O$301))*LN(O195/SUM(O$2:O$301)))</f>
        <v/>
      </c>
      <c r="X195">
        <f>IF(Datos!A195="","",IF(SUMSQ(C$2:C$301)=0,0,C195/SQRT(SUMSQ(C$2:C$301)))*$BE$2)</f>
        <v/>
      </c>
      <c r="Y195">
        <f>IF(Datos!A195="","",IF(SUMSQ(D$2:D$301)=0,0,D195/SQRT(SUMSQ(D$2:D$301)))*$BE$3)</f>
        <v/>
      </c>
      <c r="Z195">
        <f>IF(Datos!A195="","",IF(SUMSQ(E$2:E$301)=0,0,E195/SQRT(SUMSQ(E$2:E$301)))*$BE$4)</f>
        <v/>
      </c>
      <c r="AA195">
        <f>IF(Datos!A195="","",IF(SUMSQ(F$2:F$301)=0,0,F195/SQRT(SUMSQ(F$2:F$301)))*$BE$5)</f>
        <v/>
      </c>
      <c r="AB195">
        <f>IF(Datos!A195="","",IF(SUMSQ(G$2:G$301)=0,0,G195/SQRT(SUMSQ(G$2:G$301)))*$BE$6)</f>
        <v/>
      </c>
      <c r="AC195">
        <f>IF(Datos!A195="","",IF(SUMSQ(H$2:H$301)=0,0,H195/SQRT(SUMSQ(H$2:H$301)))*$BE$7)</f>
        <v/>
      </c>
      <c r="AE195">
        <f>IF(Datos!A195="","",SQRT(SUMXMY2(X195:AC195,$X$303:$AC$303)))</f>
        <v/>
      </c>
      <c r="AF195">
        <f>IF(Datos!A195="","",SQRT(SUMXMY2(X195:AC195,$X$304:$AC$304)))</f>
        <v/>
      </c>
      <c r="AG195" s="11">
        <f>IF(Datos!A195="","",IF(AE195+AF195&lt;0.000000001,0.5,AF195/(AE195+AF195)))</f>
        <v/>
      </c>
      <c r="AH195">
        <f>IF(Datos!A195="","",AG195*MAX(C195*D195,1))</f>
        <v/>
      </c>
      <c r="AI195">
        <f>IF(Datos!A195="","",SUMIF($AH$2:$AH$301,"&gt;="&amp;AH195,$AH$2:$AH$301)/SUM($AH$2:$AH$301))</f>
        <v/>
      </c>
      <c r="AJ195" s="12">
        <f>IF(Datos!A195="","",IF(AI195&lt;=Parametros!$B$13,"A",IF(AI195&lt;=Parametros!$B$14,"B","C")))</f>
        <v/>
      </c>
      <c r="AK195" s="13">
        <f>IF(Datos!A195="","",VLOOKUP(AJ195,Parametros!$A$8:$C$10,2,FALSE))</f>
        <v/>
      </c>
      <c r="AL195">
        <f>IF(Datos!A195="","",VLOOKUP(AJ195,Parametros!$A$8:$C$10,3,FALSE))</f>
        <v/>
      </c>
      <c r="AM195">
        <f>IF(Datos!A195="","",NORMSINV(AK195))</f>
        <v/>
      </c>
      <c r="AN195">
        <f>IF(Datos!A195="","",D195/Parametros!$B$4)</f>
        <v/>
      </c>
      <c r="AO195">
        <f>IF(Datos!A195="","",MAX(0,ROUNDUP(AM195*(AN195*Parametros!$B$3)*SQRT((AL195+E195)),0)))</f>
        <v/>
      </c>
      <c r="AP195">
        <f>IF(Datos!A195="","",MAX(1,ROUNDUP(AN195*(AL195+E195)+AM195*(AN195*Parametros!$B$3)*SQRT((AL195+E195)),0)))</f>
        <v/>
      </c>
      <c r="AQ195">
        <f>IF(Datos!A195="","",IF(Datos!J195="","",Datos!J195))</f>
        <v/>
      </c>
      <c r="AR195">
        <f>IF(OR(Datos!A195="",AQ195=""),"",MAX(0,AQ195-AP195))</f>
        <v/>
      </c>
      <c r="AS195" s="10">
        <f>IF(OR(Datos!A195="",AQ195=""),"",AR195*C195)</f>
        <v/>
      </c>
      <c r="AT195" s="12">
        <f>IF(OR(Datos!A195="",AQ195=""),"",IF(AQ195&lt;AO195,"SI",""))</f>
        <v/>
      </c>
      <c r="AU195">
        <f>IF(Datos!A195="","",IF(AT195="SI","Reponer ahora",IF(AND(AQ195&lt;&gt;"",AR195&gt;0),"Bajar "&amp;TEXT(AR195,"#,##0")&amp;" un.","En rango")))</f>
        <v/>
      </c>
    </row>
    <row r="196">
      <c r="A196">
        <f>IF(Datos!A196="","",Datos!A196)</f>
        <v/>
      </c>
      <c r="B196">
        <f>IF(Datos!A196="","",Datos!B196)</f>
        <v/>
      </c>
      <c r="C196">
        <f>IF(Datos!A196="","",IFERROR(MAX(0,N(Datos!D196)),0))</f>
        <v/>
      </c>
      <c r="D196">
        <f>IF(Datos!A196="","",IFERROR(MAX(0,N(Datos!E196)),0))</f>
        <v/>
      </c>
      <c r="E196">
        <f>IF(Datos!A196="","",IFERROR(MAX(0,N(Datos!F196)),0))</f>
        <v/>
      </c>
      <c r="F196">
        <f>IF(Datos!A196="","",IFERROR(MAX(0,N(Datos!G196)),0))</f>
        <v/>
      </c>
      <c r="G196">
        <f>IF(Datos!A196="","",IFERROR(MAX(0,N(Datos!H196)),0))</f>
        <v/>
      </c>
      <c r="H196">
        <f>IF(Datos!A196="","",IFERROR(MAX(0,N(Datos!I196)),0))</f>
        <v/>
      </c>
      <c r="J196">
        <f>IF(Datos!A196="","",IF(MAX(C$2:C$301)-MIN(C$2:C$301)&lt;0.000000001,0.5,(C196-MIN(C$2:C$301))/(MAX(C$2:C$301)-MIN(C$2:C$301)))+0.000000001)</f>
        <v/>
      </c>
      <c r="K196">
        <f>IF(Datos!A196="","",IF(MAX(D$2:D$301)-MIN(D$2:D$301)&lt;0.000000001,0.5,(D196-MIN(D$2:D$301))/(MAX(D$2:D$301)-MIN(D$2:D$301)))+0.000000001)</f>
        <v/>
      </c>
      <c r="L196">
        <f>IF(Datos!A196="","",IF(MAX(E$2:E$301)-MIN(E$2:E$301)&lt;0.000000001,0.5,(E196-MIN(E$2:E$301))/(MAX(E$2:E$301)-MIN(E$2:E$301)))+0.000000001)</f>
        <v/>
      </c>
      <c r="M196">
        <f>IF(Datos!A196="","",IF(MAX(F$2:F$301)-MIN(F$2:F$301)&lt;0.000000001,0.5,(F196-MIN(F$2:F$301))/(MAX(F$2:F$301)-MIN(F$2:F$301)))+0.000000001)</f>
        <v/>
      </c>
      <c r="N196">
        <f>IF(Datos!A196="","",IF(MAX(G$2:G$301)-MIN(G$2:G$301)&lt;0.000000001,0.5,(G196-MIN(G$2:G$301))/(MAX(G$2:G$301)-MIN(G$2:G$301)))+0.000000001)</f>
        <v/>
      </c>
      <c r="O196">
        <f>IF(Datos!A196="","",IF(MAX(H$2:H$301)-MIN(H$2:H$301)&lt;0.000000001,0.5,(H196-MIN(H$2:H$301))/(MAX(H$2:H$301)-MIN(H$2:H$301)))+0.000000001)</f>
        <v/>
      </c>
      <c r="Q196">
        <f>IF(Datos!A196="","",(J196/SUM(J$2:J$301))*LN(J196/SUM(J$2:J$301)))</f>
        <v/>
      </c>
      <c r="R196">
        <f>IF(Datos!A196="","",(K196/SUM(K$2:K$301))*LN(K196/SUM(K$2:K$301)))</f>
        <v/>
      </c>
      <c r="S196">
        <f>IF(Datos!A196="","",(L196/SUM(L$2:L$301))*LN(L196/SUM(L$2:L$301)))</f>
        <v/>
      </c>
      <c r="T196">
        <f>IF(Datos!A196="","",(M196/SUM(M$2:M$301))*LN(M196/SUM(M$2:M$301)))</f>
        <v/>
      </c>
      <c r="U196">
        <f>IF(Datos!A196="","",(N196/SUM(N$2:N$301))*LN(N196/SUM(N$2:N$301)))</f>
        <v/>
      </c>
      <c r="V196">
        <f>IF(Datos!A196="","",(O196/SUM(O$2:O$301))*LN(O196/SUM(O$2:O$301)))</f>
        <v/>
      </c>
      <c r="X196">
        <f>IF(Datos!A196="","",IF(SUMSQ(C$2:C$301)=0,0,C196/SQRT(SUMSQ(C$2:C$301)))*$BE$2)</f>
        <v/>
      </c>
      <c r="Y196">
        <f>IF(Datos!A196="","",IF(SUMSQ(D$2:D$301)=0,0,D196/SQRT(SUMSQ(D$2:D$301)))*$BE$3)</f>
        <v/>
      </c>
      <c r="Z196">
        <f>IF(Datos!A196="","",IF(SUMSQ(E$2:E$301)=0,0,E196/SQRT(SUMSQ(E$2:E$301)))*$BE$4)</f>
        <v/>
      </c>
      <c r="AA196">
        <f>IF(Datos!A196="","",IF(SUMSQ(F$2:F$301)=0,0,F196/SQRT(SUMSQ(F$2:F$301)))*$BE$5)</f>
        <v/>
      </c>
      <c r="AB196">
        <f>IF(Datos!A196="","",IF(SUMSQ(G$2:G$301)=0,0,G196/SQRT(SUMSQ(G$2:G$301)))*$BE$6)</f>
        <v/>
      </c>
      <c r="AC196">
        <f>IF(Datos!A196="","",IF(SUMSQ(H$2:H$301)=0,0,H196/SQRT(SUMSQ(H$2:H$301)))*$BE$7)</f>
        <v/>
      </c>
      <c r="AE196">
        <f>IF(Datos!A196="","",SQRT(SUMXMY2(X196:AC196,$X$303:$AC$303)))</f>
        <v/>
      </c>
      <c r="AF196">
        <f>IF(Datos!A196="","",SQRT(SUMXMY2(X196:AC196,$X$304:$AC$304)))</f>
        <v/>
      </c>
      <c r="AG196" s="11">
        <f>IF(Datos!A196="","",IF(AE196+AF196&lt;0.000000001,0.5,AF196/(AE196+AF196)))</f>
        <v/>
      </c>
      <c r="AH196">
        <f>IF(Datos!A196="","",AG196*MAX(C196*D196,1))</f>
        <v/>
      </c>
      <c r="AI196">
        <f>IF(Datos!A196="","",SUMIF($AH$2:$AH$301,"&gt;="&amp;AH196,$AH$2:$AH$301)/SUM($AH$2:$AH$301))</f>
        <v/>
      </c>
      <c r="AJ196" s="12">
        <f>IF(Datos!A196="","",IF(AI196&lt;=Parametros!$B$13,"A",IF(AI196&lt;=Parametros!$B$14,"B","C")))</f>
        <v/>
      </c>
      <c r="AK196" s="13">
        <f>IF(Datos!A196="","",VLOOKUP(AJ196,Parametros!$A$8:$C$10,2,FALSE))</f>
        <v/>
      </c>
      <c r="AL196">
        <f>IF(Datos!A196="","",VLOOKUP(AJ196,Parametros!$A$8:$C$10,3,FALSE))</f>
        <v/>
      </c>
      <c r="AM196">
        <f>IF(Datos!A196="","",NORMSINV(AK196))</f>
        <v/>
      </c>
      <c r="AN196">
        <f>IF(Datos!A196="","",D196/Parametros!$B$4)</f>
        <v/>
      </c>
      <c r="AO196">
        <f>IF(Datos!A196="","",MAX(0,ROUNDUP(AM196*(AN196*Parametros!$B$3)*SQRT((AL196+E196)),0)))</f>
        <v/>
      </c>
      <c r="AP196">
        <f>IF(Datos!A196="","",MAX(1,ROUNDUP(AN196*(AL196+E196)+AM196*(AN196*Parametros!$B$3)*SQRT((AL196+E196)),0)))</f>
        <v/>
      </c>
      <c r="AQ196">
        <f>IF(Datos!A196="","",IF(Datos!J196="","",Datos!J196))</f>
        <v/>
      </c>
      <c r="AR196">
        <f>IF(OR(Datos!A196="",AQ196=""),"",MAX(0,AQ196-AP196))</f>
        <v/>
      </c>
      <c r="AS196" s="10">
        <f>IF(OR(Datos!A196="",AQ196=""),"",AR196*C196)</f>
        <v/>
      </c>
      <c r="AT196" s="12">
        <f>IF(OR(Datos!A196="",AQ196=""),"",IF(AQ196&lt;AO196,"SI",""))</f>
        <v/>
      </c>
      <c r="AU196">
        <f>IF(Datos!A196="","",IF(AT196="SI","Reponer ahora",IF(AND(AQ196&lt;&gt;"",AR196&gt;0),"Bajar "&amp;TEXT(AR196,"#,##0")&amp;" un.","En rango")))</f>
        <v/>
      </c>
    </row>
    <row r="197">
      <c r="A197">
        <f>IF(Datos!A197="","",Datos!A197)</f>
        <v/>
      </c>
      <c r="B197">
        <f>IF(Datos!A197="","",Datos!B197)</f>
        <v/>
      </c>
      <c r="C197">
        <f>IF(Datos!A197="","",IFERROR(MAX(0,N(Datos!D197)),0))</f>
        <v/>
      </c>
      <c r="D197">
        <f>IF(Datos!A197="","",IFERROR(MAX(0,N(Datos!E197)),0))</f>
        <v/>
      </c>
      <c r="E197">
        <f>IF(Datos!A197="","",IFERROR(MAX(0,N(Datos!F197)),0))</f>
        <v/>
      </c>
      <c r="F197">
        <f>IF(Datos!A197="","",IFERROR(MAX(0,N(Datos!G197)),0))</f>
        <v/>
      </c>
      <c r="G197">
        <f>IF(Datos!A197="","",IFERROR(MAX(0,N(Datos!H197)),0))</f>
        <v/>
      </c>
      <c r="H197">
        <f>IF(Datos!A197="","",IFERROR(MAX(0,N(Datos!I197)),0))</f>
        <v/>
      </c>
      <c r="J197">
        <f>IF(Datos!A197="","",IF(MAX(C$2:C$301)-MIN(C$2:C$301)&lt;0.000000001,0.5,(C197-MIN(C$2:C$301))/(MAX(C$2:C$301)-MIN(C$2:C$301)))+0.000000001)</f>
        <v/>
      </c>
      <c r="K197">
        <f>IF(Datos!A197="","",IF(MAX(D$2:D$301)-MIN(D$2:D$301)&lt;0.000000001,0.5,(D197-MIN(D$2:D$301))/(MAX(D$2:D$301)-MIN(D$2:D$301)))+0.000000001)</f>
        <v/>
      </c>
      <c r="L197">
        <f>IF(Datos!A197="","",IF(MAX(E$2:E$301)-MIN(E$2:E$301)&lt;0.000000001,0.5,(E197-MIN(E$2:E$301))/(MAX(E$2:E$301)-MIN(E$2:E$301)))+0.000000001)</f>
        <v/>
      </c>
      <c r="M197">
        <f>IF(Datos!A197="","",IF(MAX(F$2:F$301)-MIN(F$2:F$301)&lt;0.000000001,0.5,(F197-MIN(F$2:F$301))/(MAX(F$2:F$301)-MIN(F$2:F$301)))+0.000000001)</f>
        <v/>
      </c>
      <c r="N197">
        <f>IF(Datos!A197="","",IF(MAX(G$2:G$301)-MIN(G$2:G$301)&lt;0.000000001,0.5,(G197-MIN(G$2:G$301))/(MAX(G$2:G$301)-MIN(G$2:G$301)))+0.000000001)</f>
        <v/>
      </c>
      <c r="O197">
        <f>IF(Datos!A197="","",IF(MAX(H$2:H$301)-MIN(H$2:H$301)&lt;0.000000001,0.5,(H197-MIN(H$2:H$301))/(MAX(H$2:H$301)-MIN(H$2:H$301)))+0.000000001)</f>
        <v/>
      </c>
      <c r="Q197">
        <f>IF(Datos!A197="","",(J197/SUM(J$2:J$301))*LN(J197/SUM(J$2:J$301)))</f>
        <v/>
      </c>
      <c r="R197">
        <f>IF(Datos!A197="","",(K197/SUM(K$2:K$301))*LN(K197/SUM(K$2:K$301)))</f>
        <v/>
      </c>
      <c r="S197">
        <f>IF(Datos!A197="","",(L197/SUM(L$2:L$301))*LN(L197/SUM(L$2:L$301)))</f>
        <v/>
      </c>
      <c r="T197">
        <f>IF(Datos!A197="","",(M197/SUM(M$2:M$301))*LN(M197/SUM(M$2:M$301)))</f>
        <v/>
      </c>
      <c r="U197">
        <f>IF(Datos!A197="","",(N197/SUM(N$2:N$301))*LN(N197/SUM(N$2:N$301)))</f>
        <v/>
      </c>
      <c r="V197">
        <f>IF(Datos!A197="","",(O197/SUM(O$2:O$301))*LN(O197/SUM(O$2:O$301)))</f>
        <v/>
      </c>
      <c r="X197">
        <f>IF(Datos!A197="","",IF(SUMSQ(C$2:C$301)=0,0,C197/SQRT(SUMSQ(C$2:C$301)))*$BE$2)</f>
        <v/>
      </c>
      <c r="Y197">
        <f>IF(Datos!A197="","",IF(SUMSQ(D$2:D$301)=0,0,D197/SQRT(SUMSQ(D$2:D$301)))*$BE$3)</f>
        <v/>
      </c>
      <c r="Z197">
        <f>IF(Datos!A197="","",IF(SUMSQ(E$2:E$301)=0,0,E197/SQRT(SUMSQ(E$2:E$301)))*$BE$4)</f>
        <v/>
      </c>
      <c r="AA197">
        <f>IF(Datos!A197="","",IF(SUMSQ(F$2:F$301)=0,0,F197/SQRT(SUMSQ(F$2:F$301)))*$BE$5)</f>
        <v/>
      </c>
      <c r="AB197">
        <f>IF(Datos!A197="","",IF(SUMSQ(G$2:G$301)=0,0,G197/SQRT(SUMSQ(G$2:G$301)))*$BE$6)</f>
        <v/>
      </c>
      <c r="AC197">
        <f>IF(Datos!A197="","",IF(SUMSQ(H$2:H$301)=0,0,H197/SQRT(SUMSQ(H$2:H$301)))*$BE$7)</f>
        <v/>
      </c>
      <c r="AE197">
        <f>IF(Datos!A197="","",SQRT(SUMXMY2(X197:AC197,$X$303:$AC$303)))</f>
        <v/>
      </c>
      <c r="AF197">
        <f>IF(Datos!A197="","",SQRT(SUMXMY2(X197:AC197,$X$304:$AC$304)))</f>
        <v/>
      </c>
      <c r="AG197" s="11">
        <f>IF(Datos!A197="","",IF(AE197+AF197&lt;0.000000001,0.5,AF197/(AE197+AF197)))</f>
        <v/>
      </c>
      <c r="AH197">
        <f>IF(Datos!A197="","",AG197*MAX(C197*D197,1))</f>
        <v/>
      </c>
      <c r="AI197">
        <f>IF(Datos!A197="","",SUMIF($AH$2:$AH$301,"&gt;="&amp;AH197,$AH$2:$AH$301)/SUM($AH$2:$AH$301))</f>
        <v/>
      </c>
      <c r="AJ197" s="12">
        <f>IF(Datos!A197="","",IF(AI197&lt;=Parametros!$B$13,"A",IF(AI197&lt;=Parametros!$B$14,"B","C")))</f>
        <v/>
      </c>
      <c r="AK197" s="13">
        <f>IF(Datos!A197="","",VLOOKUP(AJ197,Parametros!$A$8:$C$10,2,FALSE))</f>
        <v/>
      </c>
      <c r="AL197">
        <f>IF(Datos!A197="","",VLOOKUP(AJ197,Parametros!$A$8:$C$10,3,FALSE))</f>
        <v/>
      </c>
      <c r="AM197">
        <f>IF(Datos!A197="","",NORMSINV(AK197))</f>
        <v/>
      </c>
      <c r="AN197">
        <f>IF(Datos!A197="","",D197/Parametros!$B$4)</f>
        <v/>
      </c>
      <c r="AO197">
        <f>IF(Datos!A197="","",MAX(0,ROUNDUP(AM197*(AN197*Parametros!$B$3)*SQRT((AL197+E197)),0)))</f>
        <v/>
      </c>
      <c r="AP197">
        <f>IF(Datos!A197="","",MAX(1,ROUNDUP(AN197*(AL197+E197)+AM197*(AN197*Parametros!$B$3)*SQRT((AL197+E197)),0)))</f>
        <v/>
      </c>
      <c r="AQ197">
        <f>IF(Datos!A197="","",IF(Datos!J197="","",Datos!J197))</f>
        <v/>
      </c>
      <c r="AR197">
        <f>IF(OR(Datos!A197="",AQ197=""),"",MAX(0,AQ197-AP197))</f>
        <v/>
      </c>
      <c r="AS197" s="10">
        <f>IF(OR(Datos!A197="",AQ197=""),"",AR197*C197)</f>
        <v/>
      </c>
      <c r="AT197" s="12">
        <f>IF(OR(Datos!A197="",AQ197=""),"",IF(AQ197&lt;AO197,"SI",""))</f>
        <v/>
      </c>
      <c r="AU197">
        <f>IF(Datos!A197="","",IF(AT197="SI","Reponer ahora",IF(AND(AQ197&lt;&gt;"",AR197&gt;0),"Bajar "&amp;TEXT(AR197,"#,##0")&amp;" un.","En rango")))</f>
        <v/>
      </c>
    </row>
    <row r="198">
      <c r="A198">
        <f>IF(Datos!A198="","",Datos!A198)</f>
        <v/>
      </c>
      <c r="B198">
        <f>IF(Datos!A198="","",Datos!B198)</f>
        <v/>
      </c>
      <c r="C198">
        <f>IF(Datos!A198="","",IFERROR(MAX(0,N(Datos!D198)),0))</f>
        <v/>
      </c>
      <c r="D198">
        <f>IF(Datos!A198="","",IFERROR(MAX(0,N(Datos!E198)),0))</f>
        <v/>
      </c>
      <c r="E198">
        <f>IF(Datos!A198="","",IFERROR(MAX(0,N(Datos!F198)),0))</f>
        <v/>
      </c>
      <c r="F198">
        <f>IF(Datos!A198="","",IFERROR(MAX(0,N(Datos!G198)),0))</f>
        <v/>
      </c>
      <c r="G198">
        <f>IF(Datos!A198="","",IFERROR(MAX(0,N(Datos!H198)),0))</f>
        <v/>
      </c>
      <c r="H198">
        <f>IF(Datos!A198="","",IFERROR(MAX(0,N(Datos!I198)),0))</f>
        <v/>
      </c>
      <c r="J198">
        <f>IF(Datos!A198="","",IF(MAX(C$2:C$301)-MIN(C$2:C$301)&lt;0.000000001,0.5,(C198-MIN(C$2:C$301))/(MAX(C$2:C$301)-MIN(C$2:C$301)))+0.000000001)</f>
        <v/>
      </c>
      <c r="K198">
        <f>IF(Datos!A198="","",IF(MAX(D$2:D$301)-MIN(D$2:D$301)&lt;0.000000001,0.5,(D198-MIN(D$2:D$301))/(MAX(D$2:D$301)-MIN(D$2:D$301)))+0.000000001)</f>
        <v/>
      </c>
      <c r="L198">
        <f>IF(Datos!A198="","",IF(MAX(E$2:E$301)-MIN(E$2:E$301)&lt;0.000000001,0.5,(E198-MIN(E$2:E$301))/(MAX(E$2:E$301)-MIN(E$2:E$301)))+0.000000001)</f>
        <v/>
      </c>
      <c r="M198">
        <f>IF(Datos!A198="","",IF(MAX(F$2:F$301)-MIN(F$2:F$301)&lt;0.000000001,0.5,(F198-MIN(F$2:F$301))/(MAX(F$2:F$301)-MIN(F$2:F$301)))+0.000000001)</f>
        <v/>
      </c>
      <c r="N198">
        <f>IF(Datos!A198="","",IF(MAX(G$2:G$301)-MIN(G$2:G$301)&lt;0.000000001,0.5,(G198-MIN(G$2:G$301))/(MAX(G$2:G$301)-MIN(G$2:G$301)))+0.000000001)</f>
        <v/>
      </c>
      <c r="O198">
        <f>IF(Datos!A198="","",IF(MAX(H$2:H$301)-MIN(H$2:H$301)&lt;0.000000001,0.5,(H198-MIN(H$2:H$301))/(MAX(H$2:H$301)-MIN(H$2:H$301)))+0.000000001)</f>
        <v/>
      </c>
      <c r="Q198">
        <f>IF(Datos!A198="","",(J198/SUM(J$2:J$301))*LN(J198/SUM(J$2:J$301)))</f>
        <v/>
      </c>
      <c r="R198">
        <f>IF(Datos!A198="","",(K198/SUM(K$2:K$301))*LN(K198/SUM(K$2:K$301)))</f>
        <v/>
      </c>
      <c r="S198">
        <f>IF(Datos!A198="","",(L198/SUM(L$2:L$301))*LN(L198/SUM(L$2:L$301)))</f>
        <v/>
      </c>
      <c r="T198">
        <f>IF(Datos!A198="","",(M198/SUM(M$2:M$301))*LN(M198/SUM(M$2:M$301)))</f>
        <v/>
      </c>
      <c r="U198">
        <f>IF(Datos!A198="","",(N198/SUM(N$2:N$301))*LN(N198/SUM(N$2:N$301)))</f>
        <v/>
      </c>
      <c r="V198">
        <f>IF(Datos!A198="","",(O198/SUM(O$2:O$301))*LN(O198/SUM(O$2:O$301)))</f>
        <v/>
      </c>
      <c r="X198">
        <f>IF(Datos!A198="","",IF(SUMSQ(C$2:C$301)=0,0,C198/SQRT(SUMSQ(C$2:C$301)))*$BE$2)</f>
        <v/>
      </c>
      <c r="Y198">
        <f>IF(Datos!A198="","",IF(SUMSQ(D$2:D$301)=0,0,D198/SQRT(SUMSQ(D$2:D$301)))*$BE$3)</f>
        <v/>
      </c>
      <c r="Z198">
        <f>IF(Datos!A198="","",IF(SUMSQ(E$2:E$301)=0,0,E198/SQRT(SUMSQ(E$2:E$301)))*$BE$4)</f>
        <v/>
      </c>
      <c r="AA198">
        <f>IF(Datos!A198="","",IF(SUMSQ(F$2:F$301)=0,0,F198/SQRT(SUMSQ(F$2:F$301)))*$BE$5)</f>
        <v/>
      </c>
      <c r="AB198">
        <f>IF(Datos!A198="","",IF(SUMSQ(G$2:G$301)=0,0,G198/SQRT(SUMSQ(G$2:G$301)))*$BE$6)</f>
        <v/>
      </c>
      <c r="AC198">
        <f>IF(Datos!A198="","",IF(SUMSQ(H$2:H$301)=0,0,H198/SQRT(SUMSQ(H$2:H$301)))*$BE$7)</f>
        <v/>
      </c>
      <c r="AE198">
        <f>IF(Datos!A198="","",SQRT(SUMXMY2(X198:AC198,$X$303:$AC$303)))</f>
        <v/>
      </c>
      <c r="AF198">
        <f>IF(Datos!A198="","",SQRT(SUMXMY2(X198:AC198,$X$304:$AC$304)))</f>
        <v/>
      </c>
      <c r="AG198" s="11">
        <f>IF(Datos!A198="","",IF(AE198+AF198&lt;0.000000001,0.5,AF198/(AE198+AF198)))</f>
        <v/>
      </c>
      <c r="AH198">
        <f>IF(Datos!A198="","",AG198*MAX(C198*D198,1))</f>
        <v/>
      </c>
      <c r="AI198">
        <f>IF(Datos!A198="","",SUMIF($AH$2:$AH$301,"&gt;="&amp;AH198,$AH$2:$AH$301)/SUM($AH$2:$AH$301))</f>
        <v/>
      </c>
      <c r="AJ198" s="12">
        <f>IF(Datos!A198="","",IF(AI198&lt;=Parametros!$B$13,"A",IF(AI198&lt;=Parametros!$B$14,"B","C")))</f>
        <v/>
      </c>
      <c r="AK198" s="13">
        <f>IF(Datos!A198="","",VLOOKUP(AJ198,Parametros!$A$8:$C$10,2,FALSE))</f>
        <v/>
      </c>
      <c r="AL198">
        <f>IF(Datos!A198="","",VLOOKUP(AJ198,Parametros!$A$8:$C$10,3,FALSE))</f>
        <v/>
      </c>
      <c r="AM198">
        <f>IF(Datos!A198="","",NORMSINV(AK198))</f>
        <v/>
      </c>
      <c r="AN198">
        <f>IF(Datos!A198="","",D198/Parametros!$B$4)</f>
        <v/>
      </c>
      <c r="AO198">
        <f>IF(Datos!A198="","",MAX(0,ROUNDUP(AM198*(AN198*Parametros!$B$3)*SQRT((AL198+E198)),0)))</f>
        <v/>
      </c>
      <c r="AP198">
        <f>IF(Datos!A198="","",MAX(1,ROUNDUP(AN198*(AL198+E198)+AM198*(AN198*Parametros!$B$3)*SQRT((AL198+E198)),0)))</f>
        <v/>
      </c>
      <c r="AQ198">
        <f>IF(Datos!A198="","",IF(Datos!J198="","",Datos!J198))</f>
        <v/>
      </c>
      <c r="AR198">
        <f>IF(OR(Datos!A198="",AQ198=""),"",MAX(0,AQ198-AP198))</f>
        <v/>
      </c>
      <c r="AS198" s="10">
        <f>IF(OR(Datos!A198="",AQ198=""),"",AR198*C198)</f>
        <v/>
      </c>
      <c r="AT198" s="12">
        <f>IF(OR(Datos!A198="",AQ198=""),"",IF(AQ198&lt;AO198,"SI",""))</f>
        <v/>
      </c>
      <c r="AU198">
        <f>IF(Datos!A198="","",IF(AT198="SI","Reponer ahora",IF(AND(AQ198&lt;&gt;"",AR198&gt;0),"Bajar "&amp;TEXT(AR198,"#,##0")&amp;" un.","En rango")))</f>
        <v/>
      </c>
    </row>
    <row r="199">
      <c r="A199">
        <f>IF(Datos!A199="","",Datos!A199)</f>
        <v/>
      </c>
      <c r="B199">
        <f>IF(Datos!A199="","",Datos!B199)</f>
        <v/>
      </c>
      <c r="C199">
        <f>IF(Datos!A199="","",IFERROR(MAX(0,N(Datos!D199)),0))</f>
        <v/>
      </c>
      <c r="D199">
        <f>IF(Datos!A199="","",IFERROR(MAX(0,N(Datos!E199)),0))</f>
        <v/>
      </c>
      <c r="E199">
        <f>IF(Datos!A199="","",IFERROR(MAX(0,N(Datos!F199)),0))</f>
        <v/>
      </c>
      <c r="F199">
        <f>IF(Datos!A199="","",IFERROR(MAX(0,N(Datos!G199)),0))</f>
        <v/>
      </c>
      <c r="G199">
        <f>IF(Datos!A199="","",IFERROR(MAX(0,N(Datos!H199)),0))</f>
        <v/>
      </c>
      <c r="H199">
        <f>IF(Datos!A199="","",IFERROR(MAX(0,N(Datos!I199)),0))</f>
        <v/>
      </c>
      <c r="J199">
        <f>IF(Datos!A199="","",IF(MAX(C$2:C$301)-MIN(C$2:C$301)&lt;0.000000001,0.5,(C199-MIN(C$2:C$301))/(MAX(C$2:C$301)-MIN(C$2:C$301)))+0.000000001)</f>
        <v/>
      </c>
      <c r="K199">
        <f>IF(Datos!A199="","",IF(MAX(D$2:D$301)-MIN(D$2:D$301)&lt;0.000000001,0.5,(D199-MIN(D$2:D$301))/(MAX(D$2:D$301)-MIN(D$2:D$301)))+0.000000001)</f>
        <v/>
      </c>
      <c r="L199">
        <f>IF(Datos!A199="","",IF(MAX(E$2:E$301)-MIN(E$2:E$301)&lt;0.000000001,0.5,(E199-MIN(E$2:E$301))/(MAX(E$2:E$301)-MIN(E$2:E$301)))+0.000000001)</f>
        <v/>
      </c>
      <c r="M199">
        <f>IF(Datos!A199="","",IF(MAX(F$2:F$301)-MIN(F$2:F$301)&lt;0.000000001,0.5,(F199-MIN(F$2:F$301))/(MAX(F$2:F$301)-MIN(F$2:F$301)))+0.000000001)</f>
        <v/>
      </c>
      <c r="N199">
        <f>IF(Datos!A199="","",IF(MAX(G$2:G$301)-MIN(G$2:G$301)&lt;0.000000001,0.5,(G199-MIN(G$2:G$301))/(MAX(G$2:G$301)-MIN(G$2:G$301)))+0.000000001)</f>
        <v/>
      </c>
      <c r="O199">
        <f>IF(Datos!A199="","",IF(MAX(H$2:H$301)-MIN(H$2:H$301)&lt;0.000000001,0.5,(H199-MIN(H$2:H$301))/(MAX(H$2:H$301)-MIN(H$2:H$301)))+0.000000001)</f>
        <v/>
      </c>
      <c r="Q199">
        <f>IF(Datos!A199="","",(J199/SUM(J$2:J$301))*LN(J199/SUM(J$2:J$301)))</f>
        <v/>
      </c>
      <c r="R199">
        <f>IF(Datos!A199="","",(K199/SUM(K$2:K$301))*LN(K199/SUM(K$2:K$301)))</f>
        <v/>
      </c>
      <c r="S199">
        <f>IF(Datos!A199="","",(L199/SUM(L$2:L$301))*LN(L199/SUM(L$2:L$301)))</f>
        <v/>
      </c>
      <c r="T199">
        <f>IF(Datos!A199="","",(M199/SUM(M$2:M$301))*LN(M199/SUM(M$2:M$301)))</f>
        <v/>
      </c>
      <c r="U199">
        <f>IF(Datos!A199="","",(N199/SUM(N$2:N$301))*LN(N199/SUM(N$2:N$301)))</f>
        <v/>
      </c>
      <c r="V199">
        <f>IF(Datos!A199="","",(O199/SUM(O$2:O$301))*LN(O199/SUM(O$2:O$301)))</f>
        <v/>
      </c>
      <c r="X199">
        <f>IF(Datos!A199="","",IF(SUMSQ(C$2:C$301)=0,0,C199/SQRT(SUMSQ(C$2:C$301)))*$BE$2)</f>
        <v/>
      </c>
      <c r="Y199">
        <f>IF(Datos!A199="","",IF(SUMSQ(D$2:D$301)=0,0,D199/SQRT(SUMSQ(D$2:D$301)))*$BE$3)</f>
        <v/>
      </c>
      <c r="Z199">
        <f>IF(Datos!A199="","",IF(SUMSQ(E$2:E$301)=0,0,E199/SQRT(SUMSQ(E$2:E$301)))*$BE$4)</f>
        <v/>
      </c>
      <c r="AA199">
        <f>IF(Datos!A199="","",IF(SUMSQ(F$2:F$301)=0,0,F199/SQRT(SUMSQ(F$2:F$301)))*$BE$5)</f>
        <v/>
      </c>
      <c r="AB199">
        <f>IF(Datos!A199="","",IF(SUMSQ(G$2:G$301)=0,0,G199/SQRT(SUMSQ(G$2:G$301)))*$BE$6)</f>
        <v/>
      </c>
      <c r="AC199">
        <f>IF(Datos!A199="","",IF(SUMSQ(H$2:H$301)=0,0,H199/SQRT(SUMSQ(H$2:H$301)))*$BE$7)</f>
        <v/>
      </c>
      <c r="AE199">
        <f>IF(Datos!A199="","",SQRT(SUMXMY2(X199:AC199,$X$303:$AC$303)))</f>
        <v/>
      </c>
      <c r="AF199">
        <f>IF(Datos!A199="","",SQRT(SUMXMY2(X199:AC199,$X$304:$AC$304)))</f>
        <v/>
      </c>
      <c r="AG199" s="11">
        <f>IF(Datos!A199="","",IF(AE199+AF199&lt;0.000000001,0.5,AF199/(AE199+AF199)))</f>
        <v/>
      </c>
      <c r="AH199">
        <f>IF(Datos!A199="","",AG199*MAX(C199*D199,1))</f>
        <v/>
      </c>
      <c r="AI199">
        <f>IF(Datos!A199="","",SUMIF($AH$2:$AH$301,"&gt;="&amp;AH199,$AH$2:$AH$301)/SUM($AH$2:$AH$301))</f>
        <v/>
      </c>
      <c r="AJ199" s="12">
        <f>IF(Datos!A199="","",IF(AI199&lt;=Parametros!$B$13,"A",IF(AI199&lt;=Parametros!$B$14,"B","C")))</f>
        <v/>
      </c>
      <c r="AK199" s="13">
        <f>IF(Datos!A199="","",VLOOKUP(AJ199,Parametros!$A$8:$C$10,2,FALSE))</f>
        <v/>
      </c>
      <c r="AL199">
        <f>IF(Datos!A199="","",VLOOKUP(AJ199,Parametros!$A$8:$C$10,3,FALSE))</f>
        <v/>
      </c>
      <c r="AM199">
        <f>IF(Datos!A199="","",NORMSINV(AK199))</f>
        <v/>
      </c>
      <c r="AN199">
        <f>IF(Datos!A199="","",D199/Parametros!$B$4)</f>
        <v/>
      </c>
      <c r="AO199">
        <f>IF(Datos!A199="","",MAX(0,ROUNDUP(AM199*(AN199*Parametros!$B$3)*SQRT((AL199+E199)),0)))</f>
        <v/>
      </c>
      <c r="AP199">
        <f>IF(Datos!A199="","",MAX(1,ROUNDUP(AN199*(AL199+E199)+AM199*(AN199*Parametros!$B$3)*SQRT((AL199+E199)),0)))</f>
        <v/>
      </c>
      <c r="AQ199">
        <f>IF(Datos!A199="","",IF(Datos!J199="","",Datos!J199))</f>
        <v/>
      </c>
      <c r="AR199">
        <f>IF(OR(Datos!A199="",AQ199=""),"",MAX(0,AQ199-AP199))</f>
        <v/>
      </c>
      <c r="AS199" s="10">
        <f>IF(OR(Datos!A199="",AQ199=""),"",AR199*C199)</f>
        <v/>
      </c>
      <c r="AT199" s="12">
        <f>IF(OR(Datos!A199="",AQ199=""),"",IF(AQ199&lt;AO199,"SI",""))</f>
        <v/>
      </c>
      <c r="AU199">
        <f>IF(Datos!A199="","",IF(AT199="SI","Reponer ahora",IF(AND(AQ199&lt;&gt;"",AR199&gt;0),"Bajar "&amp;TEXT(AR199,"#,##0")&amp;" un.","En rango")))</f>
        <v/>
      </c>
    </row>
    <row r="200">
      <c r="A200">
        <f>IF(Datos!A200="","",Datos!A200)</f>
        <v/>
      </c>
      <c r="B200">
        <f>IF(Datos!A200="","",Datos!B200)</f>
        <v/>
      </c>
      <c r="C200">
        <f>IF(Datos!A200="","",IFERROR(MAX(0,N(Datos!D200)),0))</f>
        <v/>
      </c>
      <c r="D200">
        <f>IF(Datos!A200="","",IFERROR(MAX(0,N(Datos!E200)),0))</f>
        <v/>
      </c>
      <c r="E200">
        <f>IF(Datos!A200="","",IFERROR(MAX(0,N(Datos!F200)),0))</f>
        <v/>
      </c>
      <c r="F200">
        <f>IF(Datos!A200="","",IFERROR(MAX(0,N(Datos!G200)),0))</f>
        <v/>
      </c>
      <c r="G200">
        <f>IF(Datos!A200="","",IFERROR(MAX(0,N(Datos!H200)),0))</f>
        <v/>
      </c>
      <c r="H200">
        <f>IF(Datos!A200="","",IFERROR(MAX(0,N(Datos!I200)),0))</f>
        <v/>
      </c>
      <c r="J200">
        <f>IF(Datos!A200="","",IF(MAX(C$2:C$301)-MIN(C$2:C$301)&lt;0.000000001,0.5,(C200-MIN(C$2:C$301))/(MAX(C$2:C$301)-MIN(C$2:C$301)))+0.000000001)</f>
        <v/>
      </c>
      <c r="K200">
        <f>IF(Datos!A200="","",IF(MAX(D$2:D$301)-MIN(D$2:D$301)&lt;0.000000001,0.5,(D200-MIN(D$2:D$301))/(MAX(D$2:D$301)-MIN(D$2:D$301)))+0.000000001)</f>
        <v/>
      </c>
      <c r="L200">
        <f>IF(Datos!A200="","",IF(MAX(E$2:E$301)-MIN(E$2:E$301)&lt;0.000000001,0.5,(E200-MIN(E$2:E$301))/(MAX(E$2:E$301)-MIN(E$2:E$301)))+0.000000001)</f>
        <v/>
      </c>
      <c r="M200">
        <f>IF(Datos!A200="","",IF(MAX(F$2:F$301)-MIN(F$2:F$301)&lt;0.000000001,0.5,(F200-MIN(F$2:F$301))/(MAX(F$2:F$301)-MIN(F$2:F$301)))+0.000000001)</f>
        <v/>
      </c>
      <c r="N200">
        <f>IF(Datos!A200="","",IF(MAX(G$2:G$301)-MIN(G$2:G$301)&lt;0.000000001,0.5,(G200-MIN(G$2:G$301))/(MAX(G$2:G$301)-MIN(G$2:G$301)))+0.000000001)</f>
        <v/>
      </c>
      <c r="O200">
        <f>IF(Datos!A200="","",IF(MAX(H$2:H$301)-MIN(H$2:H$301)&lt;0.000000001,0.5,(H200-MIN(H$2:H$301))/(MAX(H$2:H$301)-MIN(H$2:H$301)))+0.000000001)</f>
        <v/>
      </c>
      <c r="Q200">
        <f>IF(Datos!A200="","",(J200/SUM(J$2:J$301))*LN(J200/SUM(J$2:J$301)))</f>
        <v/>
      </c>
      <c r="R200">
        <f>IF(Datos!A200="","",(K200/SUM(K$2:K$301))*LN(K200/SUM(K$2:K$301)))</f>
        <v/>
      </c>
      <c r="S200">
        <f>IF(Datos!A200="","",(L200/SUM(L$2:L$301))*LN(L200/SUM(L$2:L$301)))</f>
        <v/>
      </c>
      <c r="T200">
        <f>IF(Datos!A200="","",(M200/SUM(M$2:M$301))*LN(M200/SUM(M$2:M$301)))</f>
        <v/>
      </c>
      <c r="U200">
        <f>IF(Datos!A200="","",(N200/SUM(N$2:N$301))*LN(N200/SUM(N$2:N$301)))</f>
        <v/>
      </c>
      <c r="V200">
        <f>IF(Datos!A200="","",(O200/SUM(O$2:O$301))*LN(O200/SUM(O$2:O$301)))</f>
        <v/>
      </c>
      <c r="X200">
        <f>IF(Datos!A200="","",IF(SUMSQ(C$2:C$301)=0,0,C200/SQRT(SUMSQ(C$2:C$301)))*$BE$2)</f>
        <v/>
      </c>
      <c r="Y200">
        <f>IF(Datos!A200="","",IF(SUMSQ(D$2:D$301)=0,0,D200/SQRT(SUMSQ(D$2:D$301)))*$BE$3)</f>
        <v/>
      </c>
      <c r="Z200">
        <f>IF(Datos!A200="","",IF(SUMSQ(E$2:E$301)=0,0,E200/SQRT(SUMSQ(E$2:E$301)))*$BE$4)</f>
        <v/>
      </c>
      <c r="AA200">
        <f>IF(Datos!A200="","",IF(SUMSQ(F$2:F$301)=0,0,F200/SQRT(SUMSQ(F$2:F$301)))*$BE$5)</f>
        <v/>
      </c>
      <c r="AB200">
        <f>IF(Datos!A200="","",IF(SUMSQ(G$2:G$301)=0,0,G200/SQRT(SUMSQ(G$2:G$301)))*$BE$6)</f>
        <v/>
      </c>
      <c r="AC200">
        <f>IF(Datos!A200="","",IF(SUMSQ(H$2:H$301)=0,0,H200/SQRT(SUMSQ(H$2:H$301)))*$BE$7)</f>
        <v/>
      </c>
      <c r="AE200">
        <f>IF(Datos!A200="","",SQRT(SUMXMY2(X200:AC200,$X$303:$AC$303)))</f>
        <v/>
      </c>
      <c r="AF200">
        <f>IF(Datos!A200="","",SQRT(SUMXMY2(X200:AC200,$X$304:$AC$304)))</f>
        <v/>
      </c>
      <c r="AG200" s="11">
        <f>IF(Datos!A200="","",IF(AE200+AF200&lt;0.000000001,0.5,AF200/(AE200+AF200)))</f>
        <v/>
      </c>
      <c r="AH200">
        <f>IF(Datos!A200="","",AG200*MAX(C200*D200,1))</f>
        <v/>
      </c>
      <c r="AI200">
        <f>IF(Datos!A200="","",SUMIF($AH$2:$AH$301,"&gt;="&amp;AH200,$AH$2:$AH$301)/SUM($AH$2:$AH$301))</f>
        <v/>
      </c>
      <c r="AJ200" s="12">
        <f>IF(Datos!A200="","",IF(AI200&lt;=Parametros!$B$13,"A",IF(AI200&lt;=Parametros!$B$14,"B","C")))</f>
        <v/>
      </c>
      <c r="AK200" s="13">
        <f>IF(Datos!A200="","",VLOOKUP(AJ200,Parametros!$A$8:$C$10,2,FALSE))</f>
        <v/>
      </c>
      <c r="AL200">
        <f>IF(Datos!A200="","",VLOOKUP(AJ200,Parametros!$A$8:$C$10,3,FALSE))</f>
        <v/>
      </c>
      <c r="AM200">
        <f>IF(Datos!A200="","",NORMSINV(AK200))</f>
        <v/>
      </c>
      <c r="AN200">
        <f>IF(Datos!A200="","",D200/Parametros!$B$4)</f>
        <v/>
      </c>
      <c r="AO200">
        <f>IF(Datos!A200="","",MAX(0,ROUNDUP(AM200*(AN200*Parametros!$B$3)*SQRT((AL200+E200)),0)))</f>
        <v/>
      </c>
      <c r="AP200">
        <f>IF(Datos!A200="","",MAX(1,ROUNDUP(AN200*(AL200+E200)+AM200*(AN200*Parametros!$B$3)*SQRT((AL200+E200)),0)))</f>
        <v/>
      </c>
      <c r="AQ200">
        <f>IF(Datos!A200="","",IF(Datos!J200="","",Datos!J200))</f>
        <v/>
      </c>
      <c r="AR200">
        <f>IF(OR(Datos!A200="",AQ200=""),"",MAX(0,AQ200-AP200))</f>
        <v/>
      </c>
      <c r="AS200" s="10">
        <f>IF(OR(Datos!A200="",AQ200=""),"",AR200*C200)</f>
        <v/>
      </c>
      <c r="AT200" s="12">
        <f>IF(OR(Datos!A200="",AQ200=""),"",IF(AQ200&lt;AO200,"SI",""))</f>
        <v/>
      </c>
      <c r="AU200">
        <f>IF(Datos!A200="","",IF(AT200="SI","Reponer ahora",IF(AND(AQ200&lt;&gt;"",AR200&gt;0),"Bajar "&amp;TEXT(AR200,"#,##0")&amp;" un.","En rango")))</f>
        <v/>
      </c>
    </row>
    <row r="201">
      <c r="A201">
        <f>IF(Datos!A201="","",Datos!A201)</f>
        <v/>
      </c>
      <c r="B201">
        <f>IF(Datos!A201="","",Datos!B201)</f>
        <v/>
      </c>
      <c r="C201">
        <f>IF(Datos!A201="","",IFERROR(MAX(0,N(Datos!D201)),0))</f>
        <v/>
      </c>
      <c r="D201">
        <f>IF(Datos!A201="","",IFERROR(MAX(0,N(Datos!E201)),0))</f>
        <v/>
      </c>
      <c r="E201">
        <f>IF(Datos!A201="","",IFERROR(MAX(0,N(Datos!F201)),0))</f>
        <v/>
      </c>
      <c r="F201">
        <f>IF(Datos!A201="","",IFERROR(MAX(0,N(Datos!G201)),0))</f>
        <v/>
      </c>
      <c r="G201">
        <f>IF(Datos!A201="","",IFERROR(MAX(0,N(Datos!H201)),0))</f>
        <v/>
      </c>
      <c r="H201">
        <f>IF(Datos!A201="","",IFERROR(MAX(0,N(Datos!I201)),0))</f>
        <v/>
      </c>
      <c r="J201">
        <f>IF(Datos!A201="","",IF(MAX(C$2:C$301)-MIN(C$2:C$301)&lt;0.000000001,0.5,(C201-MIN(C$2:C$301))/(MAX(C$2:C$301)-MIN(C$2:C$301)))+0.000000001)</f>
        <v/>
      </c>
      <c r="K201">
        <f>IF(Datos!A201="","",IF(MAX(D$2:D$301)-MIN(D$2:D$301)&lt;0.000000001,0.5,(D201-MIN(D$2:D$301))/(MAX(D$2:D$301)-MIN(D$2:D$301)))+0.000000001)</f>
        <v/>
      </c>
      <c r="L201">
        <f>IF(Datos!A201="","",IF(MAX(E$2:E$301)-MIN(E$2:E$301)&lt;0.000000001,0.5,(E201-MIN(E$2:E$301))/(MAX(E$2:E$301)-MIN(E$2:E$301)))+0.000000001)</f>
        <v/>
      </c>
      <c r="M201">
        <f>IF(Datos!A201="","",IF(MAX(F$2:F$301)-MIN(F$2:F$301)&lt;0.000000001,0.5,(F201-MIN(F$2:F$301))/(MAX(F$2:F$301)-MIN(F$2:F$301)))+0.000000001)</f>
        <v/>
      </c>
      <c r="N201">
        <f>IF(Datos!A201="","",IF(MAX(G$2:G$301)-MIN(G$2:G$301)&lt;0.000000001,0.5,(G201-MIN(G$2:G$301))/(MAX(G$2:G$301)-MIN(G$2:G$301)))+0.000000001)</f>
        <v/>
      </c>
      <c r="O201">
        <f>IF(Datos!A201="","",IF(MAX(H$2:H$301)-MIN(H$2:H$301)&lt;0.000000001,0.5,(H201-MIN(H$2:H$301))/(MAX(H$2:H$301)-MIN(H$2:H$301)))+0.000000001)</f>
        <v/>
      </c>
      <c r="Q201">
        <f>IF(Datos!A201="","",(J201/SUM(J$2:J$301))*LN(J201/SUM(J$2:J$301)))</f>
        <v/>
      </c>
      <c r="R201">
        <f>IF(Datos!A201="","",(K201/SUM(K$2:K$301))*LN(K201/SUM(K$2:K$301)))</f>
        <v/>
      </c>
      <c r="S201">
        <f>IF(Datos!A201="","",(L201/SUM(L$2:L$301))*LN(L201/SUM(L$2:L$301)))</f>
        <v/>
      </c>
      <c r="T201">
        <f>IF(Datos!A201="","",(M201/SUM(M$2:M$301))*LN(M201/SUM(M$2:M$301)))</f>
        <v/>
      </c>
      <c r="U201">
        <f>IF(Datos!A201="","",(N201/SUM(N$2:N$301))*LN(N201/SUM(N$2:N$301)))</f>
        <v/>
      </c>
      <c r="V201">
        <f>IF(Datos!A201="","",(O201/SUM(O$2:O$301))*LN(O201/SUM(O$2:O$301)))</f>
        <v/>
      </c>
      <c r="X201">
        <f>IF(Datos!A201="","",IF(SUMSQ(C$2:C$301)=0,0,C201/SQRT(SUMSQ(C$2:C$301)))*$BE$2)</f>
        <v/>
      </c>
      <c r="Y201">
        <f>IF(Datos!A201="","",IF(SUMSQ(D$2:D$301)=0,0,D201/SQRT(SUMSQ(D$2:D$301)))*$BE$3)</f>
        <v/>
      </c>
      <c r="Z201">
        <f>IF(Datos!A201="","",IF(SUMSQ(E$2:E$301)=0,0,E201/SQRT(SUMSQ(E$2:E$301)))*$BE$4)</f>
        <v/>
      </c>
      <c r="AA201">
        <f>IF(Datos!A201="","",IF(SUMSQ(F$2:F$301)=0,0,F201/SQRT(SUMSQ(F$2:F$301)))*$BE$5)</f>
        <v/>
      </c>
      <c r="AB201">
        <f>IF(Datos!A201="","",IF(SUMSQ(G$2:G$301)=0,0,G201/SQRT(SUMSQ(G$2:G$301)))*$BE$6)</f>
        <v/>
      </c>
      <c r="AC201">
        <f>IF(Datos!A201="","",IF(SUMSQ(H$2:H$301)=0,0,H201/SQRT(SUMSQ(H$2:H$301)))*$BE$7)</f>
        <v/>
      </c>
      <c r="AE201">
        <f>IF(Datos!A201="","",SQRT(SUMXMY2(X201:AC201,$X$303:$AC$303)))</f>
        <v/>
      </c>
      <c r="AF201">
        <f>IF(Datos!A201="","",SQRT(SUMXMY2(X201:AC201,$X$304:$AC$304)))</f>
        <v/>
      </c>
      <c r="AG201" s="11">
        <f>IF(Datos!A201="","",IF(AE201+AF201&lt;0.000000001,0.5,AF201/(AE201+AF201)))</f>
        <v/>
      </c>
      <c r="AH201">
        <f>IF(Datos!A201="","",AG201*MAX(C201*D201,1))</f>
        <v/>
      </c>
      <c r="AI201">
        <f>IF(Datos!A201="","",SUMIF($AH$2:$AH$301,"&gt;="&amp;AH201,$AH$2:$AH$301)/SUM($AH$2:$AH$301))</f>
        <v/>
      </c>
      <c r="AJ201" s="12">
        <f>IF(Datos!A201="","",IF(AI201&lt;=Parametros!$B$13,"A",IF(AI201&lt;=Parametros!$B$14,"B","C")))</f>
        <v/>
      </c>
      <c r="AK201" s="13">
        <f>IF(Datos!A201="","",VLOOKUP(AJ201,Parametros!$A$8:$C$10,2,FALSE))</f>
        <v/>
      </c>
      <c r="AL201">
        <f>IF(Datos!A201="","",VLOOKUP(AJ201,Parametros!$A$8:$C$10,3,FALSE))</f>
        <v/>
      </c>
      <c r="AM201">
        <f>IF(Datos!A201="","",NORMSINV(AK201))</f>
        <v/>
      </c>
      <c r="AN201">
        <f>IF(Datos!A201="","",D201/Parametros!$B$4)</f>
        <v/>
      </c>
      <c r="AO201">
        <f>IF(Datos!A201="","",MAX(0,ROUNDUP(AM201*(AN201*Parametros!$B$3)*SQRT((AL201+E201)),0)))</f>
        <v/>
      </c>
      <c r="AP201">
        <f>IF(Datos!A201="","",MAX(1,ROUNDUP(AN201*(AL201+E201)+AM201*(AN201*Parametros!$B$3)*SQRT((AL201+E201)),0)))</f>
        <v/>
      </c>
      <c r="AQ201">
        <f>IF(Datos!A201="","",IF(Datos!J201="","",Datos!J201))</f>
        <v/>
      </c>
      <c r="AR201">
        <f>IF(OR(Datos!A201="",AQ201=""),"",MAX(0,AQ201-AP201))</f>
        <v/>
      </c>
      <c r="AS201" s="10">
        <f>IF(OR(Datos!A201="",AQ201=""),"",AR201*C201)</f>
        <v/>
      </c>
      <c r="AT201" s="12">
        <f>IF(OR(Datos!A201="",AQ201=""),"",IF(AQ201&lt;AO201,"SI",""))</f>
        <v/>
      </c>
      <c r="AU201">
        <f>IF(Datos!A201="","",IF(AT201="SI","Reponer ahora",IF(AND(AQ201&lt;&gt;"",AR201&gt;0),"Bajar "&amp;TEXT(AR201,"#,##0")&amp;" un.","En rango")))</f>
        <v/>
      </c>
    </row>
    <row r="202">
      <c r="A202">
        <f>IF(Datos!A202="","",Datos!A202)</f>
        <v/>
      </c>
      <c r="B202">
        <f>IF(Datos!A202="","",Datos!B202)</f>
        <v/>
      </c>
      <c r="C202">
        <f>IF(Datos!A202="","",IFERROR(MAX(0,N(Datos!D202)),0))</f>
        <v/>
      </c>
      <c r="D202">
        <f>IF(Datos!A202="","",IFERROR(MAX(0,N(Datos!E202)),0))</f>
        <v/>
      </c>
      <c r="E202">
        <f>IF(Datos!A202="","",IFERROR(MAX(0,N(Datos!F202)),0))</f>
        <v/>
      </c>
      <c r="F202">
        <f>IF(Datos!A202="","",IFERROR(MAX(0,N(Datos!G202)),0))</f>
        <v/>
      </c>
      <c r="G202">
        <f>IF(Datos!A202="","",IFERROR(MAX(0,N(Datos!H202)),0))</f>
        <v/>
      </c>
      <c r="H202">
        <f>IF(Datos!A202="","",IFERROR(MAX(0,N(Datos!I202)),0))</f>
        <v/>
      </c>
      <c r="J202">
        <f>IF(Datos!A202="","",IF(MAX(C$2:C$301)-MIN(C$2:C$301)&lt;0.000000001,0.5,(C202-MIN(C$2:C$301))/(MAX(C$2:C$301)-MIN(C$2:C$301)))+0.000000001)</f>
        <v/>
      </c>
      <c r="K202">
        <f>IF(Datos!A202="","",IF(MAX(D$2:D$301)-MIN(D$2:D$301)&lt;0.000000001,0.5,(D202-MIN(D$2:D$301))/(MAX(D$2:D$301)-MIN(D$2:D$301)))+0.000000001)</f>
        <v/>
      </c>
      <c r="L202">
        <f>IF(Datos!A202="","",IF(MAX(E$2:E$301)-MIN(E$2:E$301)&lt;0.000000001,0.5,(E202-MIN(E$2:E$301))/(MAX(E$2:E$301)-MIN(E$2:E$301)))+0.000000001)</f>
        <v/>
      </c>
      <c r="M202">
        <f>IF(Datos!A202="","",IF(MAX(F$2:F$301)-MIN(F$2:F$301)&lt;0.000000001,0.5,(F202-MIN(F$2:F$301))/(MAX(F$2:F$301)-MIN(F$2:F$301)))+0.000000001)</f>
        <v/>
      </c>
      <c r="N202">
        <f>IF(Datos!A202="","",IF(MAX(G$2:G$301)-MIN(G$2:G$301)&lt;0.000000001,0.5,(G202-MIN(G$2:G$301))/(MAX(G$2:G$301)-MIN(G$2:G$301)))+0.000000001)</f>
        <v/>
      </c>
      <c r="O202">
        <f>IF(Datos!A202="","",IF(MAX(H$2:H$301)-MIN(H$2:H$301)&lt;0.000000001,0.5,(H202-MIN(H$2:H$301))/(MAX(H$2:H$301)-MIN(H$2:H$301)))+0.000000001)</f>
        <v/>
      </c>
      <c r="Q202">
        <f>IF(Datos!A202="","",(J202/SUM(J$2:J$301))*LN(J202/SUM(J$2:J$301)))</f>
        <v/>
      </c>
      <c r="R202">
        <f>IF(Datos!A202="","",(K202/SUM(K$2:K$301))*LN(K202/SUM(K$2:K$301)))</f>
        <v/>
      </c>
      <c r="S202">
        <f>IF(Datos!A202="","",(L202/SUM(L$2:L$301))*LN(L202/SUM(L$2:L$301)))</f>
        <v/>
      </c>
      <c r="T202">
        <f>IF(Datos!A202="","",(M202/SUM(M$2:M$301))*LN(M202/SUM(M$2:M$301)))</f>
        <v/>
      </c>
      <c r="U202">
        <f>IF(Datos!A202="","",(N202/SUM(N$2:N$301))*LN(N202/SUM(N$2:N$301)))</f>
        <v/>
      </c>
      <c r="V202">
        <f>IF(Datos!A202="","",(O202/SUM(O$2:O$301))*LN(O202/SUM(O$2:O$301)))</f>
        <v/>
      </c>
      <c r="X202">
        <f>IF(Datos!A202="","",IF(SUMSQ(C$2:C$301)=0,0,C202/SQRT(SUMSQ(C$2:C$301)))*$BE$2)</f>
        <v/>
      </c>
      <c r="Y202">
        <f>IF(Datos!A202="","",IF(SUMSQ(D$2:D$301)=0,0,D202/SQRT(SUMSQ(D$2:D$301)))*$BE$3)</f>
        <v/>
      </c>
      <c r="Z202">
        <f>IF(Datos!A202="","",IF(SUMSQ(E$2:E$301)=0,0,E202/SQRT(SUMSQ(E$2:E$301)))*$BE$4)</f>
        <v/>
      </c>
      <c r="AA202">
        <f>IF(Datos!A202="","",IF(SUMSQ(F$2:F$301)=0,0,F202/SQRT(SUMSQ(F$2:F$301)))*$BE$5)</f>
        <v/>
      </c>
      <c r="AB202">
        <f>IF(Datos!A202="","",IF(SUMSQ(G$2:G$301)=0,0,G202/SQRT(SUMSQ(G$2:G$301)))*$BE$6)</f>
        <v/>
      </c>
      <c r="AC202">
        <f>IF(Datos!A202="","",IF(SUMSQ(H$2:H$301)=0,0,H202/SQRT(SUMSQ(H$2:H$301)))*$BE$7)</f>
        <v/>
      </c>
      <c r="AE202">
        <f>IF(Datos!A202="","",SQRT(SUMXMY2(X202:AC202,$X$303:$AC$303)))</f>
        <v/>
      </c>
      <c r="AF202">
        <f>IF(Datos!A202="","",SQRT(SUMXMY2(X202:AC202,$X$304:$AC$304)))</f>
        <v/>
      </c>
      <c r="AG202" s="11">
        <f>IF(Datos!A202="","",IF(AE202+AF202&lt;0.000000001,0.5,AF202/(AE202+AF202)))</f>
        <v/>
      </c>
      <c r="AH202">
        <f>IF(Datos!A202="","",AG202*MAX(C202*D202,1))</f>
        <v/>
      </c>
      <c r="AI202">
        <f>IF(Datos!A202="","",SUMIF($AH$2:$AH$301,"&gt;="&amp;AH202,$AH$2:$AH$301)/SUM($AH$2:$AH$301))</f>
        <v/>
      </c>
      <c r="AJ202" s="12">
        <f>IF(Datos!A202="","",IF(AI202&lt;=Parametros!$B$13,"A",IF(AI202&lt;=Parametros!$B$14,"B","C")))</f>
        <v/>
      </c>
      <c r="AK202" s="13">
        <f>IF(Datos!A202="","",VLOOKUP(AJ202,Parametros!$A$8:$C$10,2,FALSE))</f>
        <v/>
      </c>
      <c r="AL202">
        <f>IF(Datos!A202="","",VLOOKUP(AJ202,Parametros!$A$8:$C$10,3,FALSE))</f>
        <v/>
      </c>
      <c r="AM202">
        <f>IF(Datos!A202="","",NORMSINV(AK202))</f>
        <v/>
      </c>
      <c r="AN202">
        <f>IF(Datos!A202="","",D202/Parametros!$B$4)</f>
        <v/>
      </c>
      <c r="AO202">
        <f>IF(Datos!A202="","",MAX(0,ROUNDUP(AM202*(AN202*Parametros!$B$3)*SQRT((AL202+E202)),0)))</f>
        <v/>
      </c>
      <c r="AP202">
        <f>IF(Datos!A202="","",MAX(1,ROUNDUP(AN202*(AL202+E202)+AM202*(AN202*Parametros!$B$3)*SQRT((AL202+E202)),0)))</f>
        <v/>
      </c>
      <c r="AQ202">
        <f>IF(Datos!A202="","",IF(Datos!J202="","",Datos!J202))</f>
        <v/>
      </c>
      <c r="AR202">
        <f>IF(OR(Datos!A202="",AQ202=""),"",MAX(0,AQ202-AP202))</f>
        <v/>
      </c>
      <c r="AS202" s="10">
        <f>IF(OR(Datos!A202="",AQ202=""),"",AR202*C202)</f>
        <v/>
      </c>
      <c r="AT202" s="12">
        <f>IF(OR(Datos!A202="",AQ202=""),"",IF(AQ202&lt;AO202,"SI",""))</f>
        <v/>
      </c>
      <c r="AU202">
        <f>IF(Datos!A202="","",IF(AT202="SI","Reponer ahora",IF(AND(AQ202&lt;&gt;"",AR202&gt;0),"Bajar "&amp;TEXT(AR202,"#,##0")&amp;" un.","En rango")))</f>
        <v/>
      </c>
    </row>
    <row r="203">
      <c r="A203">
        <f>IF(Datos!A203="","",Datos!A203)</f>
        <v/>
      </c>
      <c r="B203">
        <f>IF(Datos!A203="","",Datos!B203)</f>
        <v/>
      </c>
      <c r="C203">
        <f>IF(Datos!A203="","",IFERROR(MAX(0,N(Datos!D203)),0))</f>
        <v/>
      </c>
      <c r="D203">
        <f>IF(Datos!A203="","",IFERROR(MAX(0,N(Datos!E203)),0))</f>
        <v/>
      </c>
      <c r="E203">
        <f>IF(Datos!A203="","",IFERROR(MAX(0,N(Datos!F203)),0))</f>
        <v/>
      </c>
      <c r="F203">
        <f>IF(Datos!A203="","",IFERROR(MAX(0,N(Datos!G203)),0))</f>
        <v/>
      </c>
      <c r="G203">
        <f>IF(Datos!A203="","",IFERROR(MAX(0,N(Datos!H203)),0))</f>
        <v/>
      </c>
      <c r="H203">
        <f>IF(Datos!A203="","",IFERROR(MAX(0,N(Datos!I203)),0))</f>
        <v/>
      </c>
      <c r="J203">
        <f>IF(Datos!A203="","",IF(MAX(C$2:C$301)-MIN(C$2:C$301)&lt;0.000000001,0.5,(C203-MIN(C$2:C$301))/(MAX(C$2:C$301)-MIN(C$2:C$301)))+0.000000001)</f>
        <v/>
      </c>
      <c r="K203">
        <f>IF(Datos!A203="","",IF(MAX(D$2:D$301)-MIN(D$2:D$301)&lt;0.000000001,0.5,(D203-MIN(D$2:D$301))/(MAX(D$2:D$301)-MIN(D$2:D$301)))+0.000000001)</f>
        <v/>
      </c>
      <c r="L203">
        <f>IF(Datos!A203="","",IF(MAX(E$2:E$301)-MIN(E$2:E$301)&lt;0.000000001,0.5,(E203-MIN(E$2:E$301))/(MAX(E$2:E$301)-MIN(E$2:E$301)))+0.000000001)</f>
        <v/>
      </c>
      <c r="M203">
        <f>IF(Datos!A203="","",IF(MAX(F$2:F$301)-MIN(F$2:F$301)&lt;0.000000001,0.5,(F203-MIN(F$2:F$301))/(MAX(F$2:F$301)-MIN(F$2:F$301)))+0.000000001)</f>
        <v/>
      </c>
      <c r="N203">
        <f>IF(Datos!A203="","",IF(MAX(G$2:G$301)-MIN(G$2:G$301)&lt;0.000000001,0.5,(G203-MIN(G$2:G$301))/(MAX(G$2:G$301)-MIN(G$2:G$301)))+0.000000001)</f>
        <v/>
      </c>
      <c r="O203">
        <f>IF(Datos!A203="","",IF(MAX(H$2:H$301)-MIN(H$2:H$301)&lt;0.000000001,0.5,(H203-MIN(H$2:H$301))/(MAX(H$2:H$301)-MIN(H$2:H$301)))+0.000000001)</f>
        <v/>
      </c>
      <c r="Q203">
        <f>IF(Datos!A203="","",(J203/SUM(J$2:J$301))*LN(J203/SUM(J$2:J$301)))</f>
        <v/>
      </c>
      <c r="R203">
        <f>IF(Datos!A203="","",(K203/SUM(K$2:K$301))*LN(K203/SUM(K$2:K$301)))</f>
        <v/>
      </c>
      <c r="S203">
        <f>IF(Datos!A203="","",(L203/SUM(L$2:L$301))*LN(L203/SUM(L$2:L$301)))</f>
        <v/>
      </c>
      <c r="T203">
        <f>IF(Datos!A203="","",(M203/SUM(M$2:M$301))*LN(M203/SUM(M$2:M$301)))</f>
        <v/>
      </c>
      <c r="U203">
        <f>IF(Datos!A203="","",(N203/SUM(N$2:N$301))*LN(N203/SUM(N$2:N$301)))</f>
        <v/>
      </c>
      <c r="V203">
        <f>IF(Datos!A203="","",(O203/SUM(O$2:O$301))*LN(O203/SUM(O$2:O$301)))</f>
        <v/>
      </c>
      <c r="X203">
        <f>IF(Datos!A203="","",IF(SUMSQ(C$2:C$301)=0,0,C203/SQRT(SUMSQ(C$2:C$301)))*$BE$2)</f>
        <v/>
      </c>
      <c r="Y203">
        <f>IF(Datos!A203="","",IF(SUMSQ(D$2:D$301)=0,0,D203/SQRT(SUMSQ(D$2:D$301)))*$BE$3)</f>
        <v/>
      </c>
      <c r="Z203">
        <f>IF(Datos!A203="","",IF(SUMSQ(E$2:E$301)=0,0,E203/SQRT(SUMSQ(E$2:E$301)))*$BE$4)</f>
        <v/>
      </c>
      <c r="AA203">
        <f>IF(Datos!A203="","",IF(SUMSQ(F$2:F$301)=0,0,F203/SQRT(SUMSQ(F$2:F$301)))*$BE$5)</f>
        <v/>
      </c>
      <c r="AB203">
        <f>IF(Datos!A203="","",IF(SUMSQ(G$2:G$301)=0,0,G203/SQRT(SUMSQ(G$2:G$301)))*$BE$6)</f>
        <v/>
      </c>
      <c r="AC203">
        <f>IF(Datos!A203="","",IF(SUMSQ(H$2:H$301)=0,0,H203/SQRT(SUMSQ(H$2:H$301)))*$BE$7)</f>
        <v/>
      </c>
      <c r="AE203">
        <f>IF(Datos!A203="","",SQRT(SUMXMY2(X203:AC203,$X$303:$AC$303)))</f>
        <v/>
      </c>
      <c r="AF203">
        <f>IF(Datos!A203="","",SQRT(SUMXMY2(X203:AC203,$X$304:$AC$304)))</f>
        <v/>
      </c>
      <c r="AG203" s="11">
        <f>IF(Datos!A203="","",IF(AE203+AF203&lt;0.000000001,0.5,AF203/(AE203+AF203)))</f>
        <v/>
      </c>
      <c r="AH203">
        <f>IF(Datos!A203="","",AG203*MAX(C203*D203,1))</f>
        <v/>
      </c>
      <c r="AI203">
        <f>IF(Datos!A203="","",SUMIF($AH$2:$AH$301,"&gt;="&amp;AH203,$AH$2:$AH$301)/SUM($AH$2:$AH$301))</f>
        <v/>
      </c>
      <c r="AJ203" s="12">
        <f>IF(Datos!A203="","",IF(AI203&lt;=Parametros!$B$13,"A",IF(AI203&lt;=Parametros!$B$14,"B","C")))</f>
        <v/>
      </c>
      <c r="AK203" s="13">
        <f>IF(Datos!A203="","",VLOOKUP(AJ203,Parametros!$A$8:$C$10,2,FALSE))</f>
        <v/>
      </c>
      <c r="AL203">
        <f>IF(Datos!A203="","",VLOOKUP(AJ203,Parametros!$A$8:$C$10,3,FALSE))</f>
        <v/>
      </c>
      <c r="AM203">
        <f>IF(Datos!A203="","",NORMSINV(AK203))</f>
        <v/>
      </c>
      <c r="AN203">
        <f>IF(Datos!A203="","",D203/Parametros!$B$4)</f>
        <v/>
      </c>
      <c r="AO203">
        <f>IF(Datos!A203="","",MAX(0,ROUNDUP(AM203*(AN203*Parametros!$B$3)*SQRT((AL203+E203)),0)))</f>
        <v/>
      </c>
      <c r="AP203">
        <f>IF(Datos!A203="","",MAX(1,ROUNDUP(AN203*(AL203+E203)+AM203*(AN203*Parametros!$B$3)*SQRT((AL203+E203)),0)))</f>
        <v/>
      </c>
      <c r="AQ203">
        <f>IF(Datos!A203="","",IF(Datos!J203="","",Datos!J203))</f>
        <v/>
      </c>
      <c r="AR203">
        <f>IF(OR(Datos!A203="",AQ203=""),"",MAX(0,AQ203-AP203))</f>
        <v/>
      </c>
      <c r="AS203" s="10">
        <f>IF(OR(Datos!A203="",AQ203=""),"",AR203*C203)</f>
        <v/>
      </c>
      <c r="AT203" s="12">
        <f>IF(OR(Datos!A203="",AQ203=""),"",IF(AQ203&lt;AO203,"SI",""))</f>
        <v/>
      </c>
      <c r="AU203">
        <f>IF(Datos!A203="","",IF(AT203="SI","Reponer ahora",IF(AND(AQ203&lt;&gt;"",AR203&gt;0),"Bajar "&amp;TEXT(AR203,"#,##0")&amp;" un.","En rango")))</f>
        <v/>
      </c>
    </row>
    <row r="204">
      <c r="A204">
        <f>IF(Datos!A204="","",Datos!A204)</f>
        <v/>
      </c>
      <c r="B204">
        <f>IF(Datos!A204="","",Datos!B204)</f>
        <v/>
      </c>
      <c r="C204">
        <f>IF(Datos!A204="","",IFERROR(MAX(0,N(Datos!D204)),0))</f>
        <v/>
      </c>
      <c r="D204">
        <f>IF(Datos!A204="","",IFERROR(MAX(0,N(Datos!E204)),0))</f>
        <v/>
      </c>
      <c r="E204">
        <f>IF(Datos!A204="","",IFERROR(MAX(0,N(Datos!F204)),0))</f>
        <v/>
      </c>
      <c r="F204">
        <f>IF(Datos!A204="","",IFERROR(MAX(0,N(Datos!G204)),0))</f>
        <v/>
      </c>
      <c r="G204">
        <f>IF(Datos!A204="","",IFERROR(MAX(0,N(Datos!H204)),0))</f>
        <v/>
      </c>
      <c r="H204">
        <f>IF(Datos!A204="","",IFERROR(MAX(0,N(Datos!I204)),0))</f>
        <v/>
      </c>
      <c r="J204">
        <f>IF(Datos!A204="","",IF(MAX(C$2:C$301)-MIN(C$2:C$301)&lt;0.000000001,0.5,(C204-MIN(C$2:C$301))/(MAX(C$2:C$301)-MIN(C$2:C$301)))+0.000000001)</f>
        <v/>
      </c>
      <c r="K204">
        <f>IF(Datos!A204="","",IF(MAX(D$2:D$301)-MIN(D$2:D$301)&lt;0.000000001,0.5,(D204-MIN(D$2:D$301))/(MAX(D$2:D$301)-MIN(D$2:D$301)))+0.000000001)</f>
        <v/>
      </c>
      <c r="L204">
        <f>IF(Datos!A204="","",IF(MAX(E$2:E$301)-MIN(E$2:E$301)&lt;0.000000001,0.5,(E204-MIN(E$2:E$301))/(MAX(E$2:E$301)-MIN(E$2:E$301)))+0.000000001)</f>
        <v/>
      </c>
      <c r="M204">
        <f>IF(Datos!A204="","",IF(MAX(F$2:F$301)-MIN(F$2:F$301)&lt;0.000000001,0.5,(F204-MIN(F$2:F$301))/(MAX(F$2:F$301)-MIN(F$2:F$301)))+0.000000001)</f>
        <v/>
      </c>
      <c r="N204">
        <f>IF(Datos!A204="","",IF(MAX(G$2:G$301)-MIN(G$2:G$301)&lt;0.000000001,0.5,(G204-MIN(G$2:G$301))/(MAX(G$2:G$301)-MIN(G$2:G$301)))+0.000000001)</f>
        <v/>
      </c>
      <c r="O204">
        <f>IF(Datos!A204="","",IF(MAX(H$2:H$301)-MIN(H$2:H$301)&lt;0.000000001,0.5,(H204-MIN(H$2:H$301))/(MAX(H$2:H$301)-MIN(H$2:H$301)))+0.000000001)</f>
        <v/>
      </c>
      <c r="Q204">
        <f>IF(Datos!A204="","",(J204/SUM(J$2:J$301))*LN(J204/SUM(J$2:J$301)))</f>
        <v/>
      </c>
      <c r="R204">
        <f>IF(Datos!A204="","",(K204/SUM(K$2:K$301))*LN(K204/SUM(K$2:K$301)))</f>
        <v/>
      </c>
      <c r="S204">
        <f>IF(Datos!A204="","",(L204/SUM(L$2:L$301))*LN(L204/SUM(L$2:L$301)))</f>
        <v/>
      </c>
      <c r="T204">
        <f>IF(Datos!A204="","",(M204/SUM(M$2:M$301))*LN(M204/SUM(M$2:M$301)))</f>
        <v/>
      </c>
      <c r="U204">
        <f>IF(Datos!A204="","",(N204/SUM(N$2:N$301))*LN(N204/SUM(N$2:N$301)))</f>
        <v/>
      </c>
      <c r="V204">
        <f>IF(Datos!A204="","",(O204/SUM(O$2:O$301))*LN(O204/SUM(O$2:O$301)))</f>
        <v/>
      </c>
      <c r="X204">
        <f>IF(Datos!A204="","",IF(SUMSQ(C$2:C$301)=0,0,C204/SQRT(SUMSQ(C$2:C$301)))*$BE$2)</f>
        <v/>
      </c>
      <c r="Y204">
        <f>IF(Datos!A204="","",IF(SUMSQ(D$2:D$301)=0,0,D204/SQRT(SUMSQ(D$2:D$301)))*$BE$3)</f>
        <v/>
      </c>
      <c r="Z204">
        <f>IF(Datos!A204="","",IF(SUMSQ(E$2:E$301)=0,0,E204/SQRT(SUMSQ(E$2:E$301)))*$BE$4)</f>
        <v/>
      </c>
      <c r="AA204">
        <f>IF(Datos!A204="","",IF(SUMSQ(F$2:F$301)=0,0,F204/SQRT(SUMSQ(F$2:F$301)))*$BE$5)</f>
        <v/>
      </c>
      <c r="AB204">
        <f>IF(Datos!A204="","",IF(SUMSQ(G$2:G$301)=0,0,G204/SQRT(SUMSQ(G$2:G$301)))*$BE$6)</f>
        <v/>
      </c>
      <c r="AC204">
        <f>IF(Datos!A204="","",IF(SUMSQ(H$2:H$301)=0,0,H204/SQRT(SUMSQ(H$2:H$301)))*$BE$7)</f>
        <v/>
      </c>
      <c r="AE204">
        <f>IF(Datos!A204="","",SQRT(SUMXMY2(X204:AC204,$X$303:$AC$303)))</f>
        <v/>
      </c>
      <c r="AF204">
        <f>IF(Datos!A204="","",SQRT(SUMXMY2(X204:AC204,$X$304:$AC$304)))</f>
        <v/>
      </c>
      <c r="AG204" s="11">
        <f>IF(Datos!A204="","",IF(AE204+AF204&lt;0.000000001,0.5,AF204/(AE204+AF204)))</f>
        <v/>
      </c>
      <c r="AH204">
        <f>IF(Datos!A204="","",AG204*MAX(C204*D204,1))</f>
        <v/>
      </c>
      <c r="AI204">
        <f>IF(Datos!A204="","",SUMIF($AH$2:$AH$301,"&gt;="&amp;AH204,$AH$2:$AH$301)/SUM($AH$2:$AH$301))</f>
        <v/>
      </c>
      <c r="AJ204" s="12">
        <f>IF(Datos!A204="","",IF(AI204&lt;=Parametros!$B$13,"A",IF(AI204&lt;=Parametros!$B$14,"B","C")))</f>
        <v/>
      </c>
      <c r="AK204" s="13">
        <f>IF(Datos!A204="","",VLOOKUP(AJ204,Parametros!$A$8:$C$10,2,FALSE))</f>
        <v/>
      </c>
      <c r="AL204">
        <f>IF(Datos!A204="","",VLOOKUP(AJ204,Parametros!$A$8:$C$10,3,FALSE))</f>
        <v/>
      </c>
      <c r="AM204">
        <f>IF(Datos!A204="","",NORMSINV(AK204))</f>
        <v/>
      </c>
      <c r="AN204">
        <f>IF(Datos!A204="","",D204/Parametros!$B$4)</f>
        <v/>
      </c>
      <c r="AO204">
        <f>IF(Datos!A204="","",MAX(0,ROUNDUP(AM204*(AN204*Parametros!$B$3)*SQRT((AL204+E204)),0)))</f>
        <v/>
      </c>
      <c r="AP204">
        <f>IF(Datos!A204="","",MAX(1,ROUNDUP(AN204*(AL204+E204)+AM204*(AN204*Parametros!$B$3)*SQRT((AL204+E204)),0)))</f>
        <v/>
      </c>
      <c r="AQ204">
        <f>IF(Datos!A204="","",IF(Datos!J204="","",Datos!J204))</f>
        <v/>
      </c>
      <c r="AR204">
        <f>IF(OR(Datos!A204="",AQ204=""),"",MAX(0,AQ204-AP204))</f>
        <v/>
      </c>
      <c r="AS204" s="10">
        <f>IF(OR(Datos!A204="",AQ204=""),"",AR204*C204)</f>
        <v/>
      </c>
      <c r="AT204" s="12">
        <f>IF(OR(Datos!A204="",AQ204=""),"",IF(AQ204&lt;AO204,"SI",""))</f>
        <v/>
      </c>
      <c r="AU204">
        <f>IF(Datos!A204="","",IF(AT204="SI","Reponer ahora",IF(AND(AQ204&lt;&gt;"",AR204&gt;0),"Bajar "&amp;TEXT(AR204,"#,##0")&amp;" un.","En rango")))</f>
        <v/>
      </c>
    </row>
    <row r="205">
      <c r="A205">
        <f>IF(Datos!A205="","",Datos!A205)</f>
        <v/>
      </c>
      <c r="B205">
        <f>IF(Datos!A205="","",Datos!B205)</f>
        <v/>
      </c>
      <c r="C205">
        <f>IF(Datos!A205="","",IFERROR(MAX(0,N(Datos!D205)),0))</f>
        <v/>
      </c>
      <c r="D205">
        <f>IF(Datos!A205="","",IFERROR(MAX(0,N(Datos!E205)),0))</f>
        <v/>
      </c>
      <c r="E205">
        <f>IF(Datos!A205="","",IFERROR(MAX(0,N(Datos!F205)),0))</f>
        <v/>
      </c>
      <c r="F205">
        <f>IF(Datos!A205="","",IFERROR(MAX(0,N(Datos!G205)),0))</f>
        <v/>
      </c>
      <c r="G205">
        <f>IF(Datos!A205="","",IFERROR(MAX(0,N(Datos!H205)),0))</f>
        <v/>
      </c>
      <c r="H205">
        <f>IF(Datos!A205="","",IFERROR(MAX(0,N(Datos!I205)),0))</f>
        <v/>
      </c>
      <c r="J205">
        <f>IF(Datos!A205="","",IF(MAX(C$2:C$301)-MIN(C$2:C$301)&lt;0.000000001,0.5,(C205-MIN(C$2:C$301))/(MAX(C$2:C$301)-MIN(C$2:C$301)))+0.000000001)</f>
        <v/>
      </c>
      <c r="K205">
        <f>IF(Datos!A205="","",IF(MAX(D$2:D$301)-MIN(D$2:D$301)&lt;0.000000001,0.5,(D205-MIN(D$2:D$301))/(MAX(D$2:D$301)-MIN(D$2:D$301)))+0.000000001)</f>
        <v/>
      </c>
      <c r="L205">
        <f>IF(Datos!A205="","",IF(MAX(E$2:E$301)-MIN(E$2:E$301)&lt;0.000000001,0.5,(E205-MIN(E$2:E$301))/(MAX(E$2:E$301)-MIN(E$2:E$301)))+0.000000001)</f>
        <v/>
      </c>
      <c r="M205">
        <f>IF(Datos!A205="","",IF(MAX(F$2:F$301)-MIN(F$2:F$301)&lt;0.000000001,0.5,(F205-MIN(F$2:F$301))/(MAX(F$2:F$301)-MIN(F$2:F$301)))+0.000000001)</f>
        <v/>
      </c>
      <c r="N205">
        <f>IF(Datos!A205="","",IF(MAX(G$2:G$301)-MIN(G$2:G$301)&lt;0.000000001,0.5,(G205-MIN(G$2:G$301))/(MAX(G$2:G$301)-MIN(G$2:G$301)))+0.000000001)</f>
        <v/>
      </c>
      <c r="O205">
        <f>IF(Datos!A205="","",IF(MAX(H$2:H$301)-MIN(H$2:H$301)&lt;0.000000001,0.5,(H205-MIN(H$2:H$301))/(MAX(H$2:H$301)-MIN(H$2:H$301)))+0.000000001)</f>
        <v/>
      </c>
      <c r="Q205">
        <f>IF(Datos!A205="","",(J205/SUM(J$2:J$301))*LN(J205/SUM(J$2:J$301)))</f>
        <v/>
      </c>
      <c r="R205">
        <f>IF(Datos!A205="","",(K205/SUM(K$2:K$301))*LN(K205/SUM(K$2:K$301)))</f>
        <v/>
      </c>
      <c r="S205">
        <f>IF(Datos!A205="","",(L205/SUM(L$2:L$301))*LN(L205/SUM(L$2:L$301)))</f>
        <v/>
      </c>
      <c r="T205">
        <f>IF(Datos!A205="","",(M205/SUM(M$2:M$301))*LN(M205/SUM(M$2:M$301)))</f>
        <v/>
      </c>
      <c r="U205">
        <f>IF(Datos!A205="","",(N205/SUM(N$2:N$301))*LN(N205/SUM(N$2:N$301)))</f>
        <v/>
      </c>
      <c r="V205">
        <f>IF(Datos!A205="","",(O205/SUM(O$2:O$301))*LN(O205/SUM(O$2:O$301)))</f>
        <v/>
      </c>
      <c r="X205">
        <f>IF(Datos!A205="","",IF(SUMSQ(C$2:C$301)=0,0,C205/SQRT(SUMSQ(C$2:C$301)))*$BE$2)</f>
        <v/>
      </c>
      <c r="Y205">
        <f>IF(Datos!A205="","",IF(SUMSQ(D$2:D$301)=0,0,D205/SQRT(SUMSQ(D$2:D$301)))*$BE$3)</f>
        <v/>
      </c>
      <c r="Z205">
        <f>IF(Datos!A205="","",IF(SUMSQ(E$2:E$301)=0,0,E205/SQRT(SUMSQ(E$2:E$301)))*$BE$4)</f>
        <v/>
      </c>
      <c r="AA205">
        <f>IF(Datos!A205="","",IF(SUMSQ(F$2:F$301)=0,0,F205/SQRT(SUMSQ(F$2:F$301)))*$BE$5)</f>
        <v/>
      </c>
      <c r="AB205">
        <f>IF(Datos!A205="","",IF(SUMSQ(G$2:G$301)=0,0,G205/SQRT(SUMSQ(G$2:G$301)))*$BE$6)</f>
        <v/>
      </c>
      <c r="AC205">
        <f>IF(Datos!A205="","",IF(SUMSQ(H$2:H$301)=0,0,H205/SQRT(SUMSQ(H$2:H$301)))*$BE$7)</f>
        <v/>
      </c>
      <c r="AE205">
        <f>IF(Datos!A205="","",SQRT(SUMXMY2(X205:AC205,$X$303:$AC$303)))</f>
        <v/>
      </c>
      <c r="AF205">
        <f>IF(Datos!A205="","",SQRT(SUMXMY2(X205:AC205,$X$304:$AC$304)))</f>
        <v/>
      </c>
      <c r="AG205" s="11">
        <f>IF(Datos!A205="","",IF(AE205+AF205&lt;0.000000001,0.5,AF205/(AE205+AF205)))</f>
        <v/>
      </c>
      <c r="AH205">
        <f>IF(Datos!A205="","",AG205*MAX(C205*D205,1))</f>
        <v/>
      </c>
      <c r="AI205">
        <f>IF(Datos!A205="","",SUMIF($AH$2:$AH$301,"&gt;="&amp;AH205,$AH$2:$AH$301)/SUM($AH$2:$AH$301))</f>
        <v/>
      </c>
      <c r="AJ205" s="12">
        <f>IF(Datos!A205="","",IF(AI205&lt;=Parametros!$B$13,"A",IF(AI205&lt;=Parametros!$B$14,"B","C")))</f>
        <v/>
      </c>
      <c r="AK205" s="13">
        <f>IF(Datos!A205="","",VLOOKUP(AJ205,Parametros!$A$8:$C$10,2,FALSE))</f>
        <v/>
      </c>
      <c r="AL205">
        <f>IF(Datos!A205="","",VLOOKUP(AJ205,Parametros!$A$8:$C$10,3,FALSE))</f>
        <v/>
      </c>
      <c r="AM205">
        <f>IF(Datos!A205="","",NORMSINV(AK205))</f>
        <v/>
      </c>
      <c r="AN205">
        <f>IF(Datos!A205="","",D205/Parametros!$B$4)</f>
        <v/>
      </c>
      <c r="AO205">
        <f>IF(Datos!A205="","",MAX(0,ROUNDUP(AM205*(AN205*Parametros!$B$3)*SQRT((AL205+E205)),0)))</f>
        <v/>
      </c>
      <c r="AP205">
        <f>IF(Datos!A205="","",MAX(1,ROUNDUP(AN205*(AL205+E205)+AM205*(AN205*Parametros!$B$3)*SQRT((AL205+E205)),0)))</f>
        <v/>
      </c>
      <c r="AQ205">
        <f>IF(Datos!A205="","",IF(Datos!J205="","",Datos!J205))</f>
        <v/>
      </c>
      <c r="AR205">
        <f>IF(OR(Datos!A205="",AQ205=""),"",MAX(0,AQ205-AP205))</f>
        <v/>
      </c>
      <c r="AS205" s="10">
        <f>IF(OR(Datos!A205="",AQ205=""),"",AR205*C205)</f>
        <v/>
      </c>
      <c r="AT205" s="12">
        <f>IF(OR(Datos!A205="",AQ205=""),"",IF(AQ205&lt;AO205,"SI",""))</f>
        <v/>
      </c>
      <c r="AU205">
        <f>IF(Datos!A205="","",IF(AT205="SI","Reponer ahora",IF(AND(AQ205&lt;&gt;"",AR205&gt;0),"Bajar "&amp;TEXT(AR205,"#,##0")&amp;" un.","En rango")))</f>
        <v/>
      </c>
    </row>
    <row r="206">
      <c r="A206">
        <f>IF(Datos!A206="","",Datos!A206)</f>
        <v/>
      </c>
      <c r="B206">
        <f>IF(Datos!A206="","",Datos!B206)</f>
        <v/>
      </c>
      <c r="C206">
        <f>IF(Datos!A206="","",IFERROR(MAX(0,N(Datos!D206)),0))</f>
        <v/>
      </c>
      <c r="D206">
        <f>IF(Datos!A206="","",IFERROR(MAX(0,N(Datos!E206)),0))</f>
        <v/>
      </c>
      <c r="E206">
        <f>IF(Datos!A206="","",IFERROR(MAX(0,N(Datos!F206)),0))</f>
        <v/>
      </c>
      <c r="F206">
        <f>IF(Datos!A206="","",IFERROR(MAX(0,N(Datos!G206)),0))</f>
        <v/>
      </c>
      <c r="G206">
        <f>IF(Datos!A206="","",IFERROR(MAX(0,N(Datos!H206)),0))</f>
        <v/>
      </c>
      <c r="H206">
        <f>IF(Datos!A206="","",IFERROR(MAX(0,N(Datos!I206)),0))</f>
        <v/>
      </c>
      <c r="J206">
        <f>IF(Datos!A206="","",IF(MAX(C$2:C$301)-MIN(C$2:C$301)&lt;0.000000001,0.5,(C206-MIN(C$2:C$301))/(MAX(C$2:C$301)-MIN(C$2:C$301)))+0.000000001)</f>
        <v/>
      </c>
      <c r="K206">
        <f>IF(Datos!A206="","",IF(MAX(D$2:D$301)-MIN(D$2:D$301)&lt;0.000000001,0.5,(D206-MIN(D$2:D$301))/(MAX(D$2:D$301)-MIN(D$2:D$301)))+0.000000001)</f>
        <v/>
      </c>
      <c r="L206">
        <f>IF(Datos!A206="","",IF(MAX(E$2:E$301)-MIN(E$2:E$301)&lt;0.000000001,0.5,(E206-MIN(E$2:E$301))/(MAX(E$2:E$301)-MIN(E$2:E$301)))+0.000000001)</f>
        <v/>
      </c>
      <c r="M206">
        <f>IF(Datos!A206="","",IF(MAX(F$2:F$301)-MIN(F$2:F$301)&lt;0.000000001,0.5,(F206-MIN(F$2:F$301))/(MAX(F$2:F$301)-MIN(F$2:F$301)))+0.000000001)</f>
        <v/>
      </c>
      <c r="N206">
        <f>IF(Datos!A206="","",IF(MAX(G$2:G$301)-MIN(G$2:G$301)&lt;0.000000001,0.5,(G206-MIN(G$2:G$301))/(MAX(G$2:G$301)-MIN(G$2:G$301)))+0.000000001)</f>
        <v/>
      </c>
      <c r="O206">
        <f>IF(Datos!A206="","",IF(MAX(H$2:H$301)-MIN(H$2:H$301)&lt;0.000000001,0.5,(H206-MIN(H$2:H$301))/(MAX(H$2:H$301)-MIN(H$2:H$301)))+0.000000001)</f>
        <v/>
      </c>
      <c r="Q206">
        <f>IF(Datos!A206="","",(J206/SUM(J$2:J$301))*LN(J206/SUM(J$2:J$301)))</f>
        <v/>
      </c>
      <c r="R206">
        <f>IF(Datos!A206="","",(K206/SUM(K$2:K$301))*LN(K206/SUM(K$2:K$301)))</f>
        <v/>
      </c>
      <c r="S206">
        <f>IF(Datos!A206="","",(L206/SUM(L$2:L$301))*LN(L206/SUM(L$2:L$301)))</f>
        <v/>
      </c>
      <c r="T206">
        <f>IF(Datos!A206="","",(M206/SUM(M$2:M$301))*LN(M206/SUM(M$2:M$301)))</f>
        <v/>
      </c>
      <c r="U206">
        <f>IF(Datos!A206="","",(N206/SUM(N$2:N$301))*LN(N206/SUM(N$2:N$301)))</f>
        <v/>
      </c>
      <c r="V206">
        <f>IF(Datos!A206="","",(O206/SUM(O$2:O$301))*LN(O206/SUM(O$2:O$301)))</f>
        <v/>
      </c>
      <c r="X206">
        <f>IF(Datos!A206="","",IF(SUMSQ(C$2:C$301)=0,0,C206/SQRT(SUMSQ(C$2:C$301)))*$BE$2)</f>
        <v/>
      </c>
      <c r="Y206">
        <f>IF(Datos!A206="","",IF(SUMSQ(D$2:D$301)=0,0,D206/SQRT(SUMSQ(D$2:D$301)))*$BE$3)</f>
        <v/>
      </c>
      <c r="Z206">
        <f>IF(Datos!A206="","",IF(SUMSQ(E$2:E$301)=0,0,E206/SQRT(SUMSQ(E$2:E$301)))*$BE$4)</f>
        <v/>
      </c>
      <c r="AA206">
        <f>IF(Datos!A206="","",IF(SUMSQ(F$2:F$301)=0,0,F206/SQRT(SUMSQ(F$2:F$301)))*$BE$5)</f>
        <v/>
      </c>
      <c r="AB206">
        <f>IF(Datos!A206="","",IF(SUMSQ(G$2:G$301)=0,0,G206/SQRT(SUMSQ(G$2:G$301)))*$BE$6)</f>
        <v/>
      </c>
      <c r="AC206">
        <f>IF(Datos!A206="","",IF(SUMSQ(H$2:H$301)=0,0,H206/SQRT(SUMSQ(H$2:H$301)))*$BE$7)</f>
        <v/>
      </c>
      <c r="AE206">
        <f>IF(Datos!A206="","",SQRT(SUMXMY2(X206:AC206,$X$303:$AC$303)))</f>
        <v/>
      </c>
      <c r="AF206">
        <f>IF(Datos!A206="","",SQRT(SUMXMY2(X206:AC206,$X$304:$AC$304)))</f>
        <v/>
      </c>
      <c r="AG206" s="11">
        <f>IF(Datos!A206="","",IF(AE206+AF206&lt;0.000000001,0.5,AF206/(AE206+AF206)))</f>
        <v/>
      </c>
      <c r="AH206">
        <f>IF(Datos!A206="","",AG206*MAX(C206*D206,1))</f>
        <v/>
      </c>
      <c r="AI206">
        <f>IF(Datos!A206="","",SUMIF($AH$2:$AH$301,"&gt;="&amp;AH206,$AH$2:$AH$301)/SUM($AH$2:$AH$301))</f>
        <v/>
      </c>
      <c r="AJ206" s="12">
        <f>IF(Datos!A206="","",IF(AI206&lt;=Parametros!$B$13,"A",IF(AI206&lt;=Parametros!$B$14,"B","C")))</f>
        <v/>
      </c>
      <c r="AK206" s="13">
        <f>IF(Datos!A206="","",VLOOKUP(AJ206,Parametros!$A$8:$C$10,2,FALSE))</f>
        <v/>
      </c>
      <c r="AL206">
        <f>IF(Datos!A206="","",VLOOKUP(AJ206,Parametros!$A$8:$C$10,3,FALSE))</f>
        <v/>
      </c>
      <c r="AM206">
        <f>IF(Datos!A206="","",NORMSINV(AK206))</f>
        <v/>
      </c>
      <c r="AN206">
        <f>IF(Datos!A206="","",D206/Parametros!$B$4)</f>
        <v/>
      </c>
      <c r="AO206">
        <f>IF(Datos!A206="","",MAX(0,ROUNDUP(AM206*(AN206*Parametros!$B$3)*SQRT((AL206+E206)),0)))</f>
        <v/>
      </c>
      <c r="AP206">
        <f>IF(Datos!A206="","",MAX(1,ROUNDUP(AN206*(AL206+E206)+AM206*(AN206*Parametros!$B$3)*SQRT((AL206+E206)),0)))</f>
        <v/>
      </c>
      <c r="AQ206">
        <f>IF(Datos!A206="","",IF(Datos!J206="","",Datos!J206))</f>
        <v/>
      </c>
      <c r="AR206">
        <f>IF(OR(Datos!A206="",AQ206=""),"",MAX(0,AQ206-AP206))</f>
        <v/>
      </c>
      <c r="AS206" s="10">
        <f>IF(OR(Datos!A206="",AQ206=""),"",AR206*C206)</f>
        <v/>
      </c>
      <c r="AT206" s="12">
        <f>IF(OR(Datos!A206="",AQ206=""),"",IF(AQ206&lt;AO206,"SI",""))</f>
        <v/>
      </c>
      <c r="AU206">
        <f>IF(Datos!A206="","",IF(AT206="SI","Reponer ahora",IF(AND(AQ206&lt;&gt;"",AR206&gt;0),"Bajar "&amp;TEXT(AR206,"#,##0")&amp;" un.","En rango")))</f>
        <v/>
      </c>
    </row>
    <row r="207">
      <c r="A207">
        <f>IF(Datos!A207="","",Datos!A207)</f>
        <v/>
      </c>
      <c r="B207">
        <f>IF(Datos!A207="","",Datos!B207)</f>
        <v/>
      </c>
      <c r="C207">
        <f>IF(Datos!A207="","",IFERROR(MAX(0,N(Datos!D207)),0))</f>
        <v/>
      </c>
      <c r="D207">
        <f>IF(Datos!A207="","",IFERROR(MAX(0,N(Datos!E207)),0))</f>
        <v/>
      </c>
      <c r="E207">
        <f>IF(Datos!A207="","",IFERROR(MAX(0,N(Datos!F207)),0))</f>
        <v/>
      </c>
      <c r="F207">
        <f>IF(Datos!A207="","",IFERROR(MAX(0,N(Datos!G207)),0))</f>
        <v/>
      </c>
      <c r="G207">
        <f>IF(Datos!A207="","",IFERROR(MAX(0,N(Datos!H207)),0))</f>
        <v/>
      </c>
      <c r="H207">
        <f>IF(Datos!A207="","",IFERROR(MAX(0,N(Datos!I207)),0))</f>
        <v/>
      </c>
      <c r="J207">
        <f>IF(Datos!A207="","",IF(MAX(C$2:C$301)-MIN(C$2:C$301)&lt;0.000000001,0.5,(C207-MIN(C$2:C$301))/(MAX(C$2:C$301)-MIN(C$2:C$301)))+0.000000001)</f>
        <v/>
      </c>
      <c r="K207">
        <f>IF(Datos!A207="","",IF(MAX(D$2:D$301)-MIN(D$2:D$301)&lt;0.000000001,0.5,(D207-MIN(D$2:D$301))/(MAX(D$2:D$301)-MIN(D$2:D$301)))+0.000000001)</f>
        <v/>
      </c>
      <c r="L207">
        <f>IF(Datos!A207="","",IF(MAX(E$2:E$301)-MIN(E$2:E$301)&lt;0.000000001,0.5,(E207-MIN(E$2:E$301))/(MAX(E$2:E$301)-MIN(E$2:E$301)))+0.000000001)</f>
        <v/>
      </c>
      <c r="M207">
        <f>IF(Datos!A207="","",IF(MAX(F$2:F$301)-MIN(F$2:F$301)&lt;0.000000001,0.5,(F207-MIN(F$2:F$301))/(MAX(F$2:F$301)-MIN(F$2:F$301)))+0.000000001)</f>
        <v/>
      </c>
      <c r="N207">
        <f>IF(Datos!A207="","",IF(MAX(G$2:G$301)-MIN(G$2:G$301)&lt;0.000000001,0.5,(G207-MIN(G$2:G$301))/(MAX(G$2:G$301)-MIN(G$2:G$301)))+0.000000001)</f>
        <v/>
      </c>
      <c r="O207">
        <f>IF(Datos!A207="","",IF(MAX(H$2:H$301)-MIN(H$2:H$301)&lt;0.000000001,0.5,(H207-MIN(H$2:H$301))/(MAX(H$2:H$301)-MIN(H$2:H$301)))+0.000000001)</f>
        <v/>
      </c>
      <c r="Q207">
        <f>IF(Datos!A207="","",(J207/SUM(J$2:J$301))*LN(J207/SUM(J$2:J$301)))</f>
        <v/>
      </c>
      <c r="R207">
        <f>IF(Datos!A207="","",(K207/SUM(K$2:K$301))*LN(K207/SUM(K$2:K$301)))</f>
        <v/>
      </c>
      <c r="S207">
        <f>IF(Datos!A207="","",(L207/SUM(L$2:L$301))*LN(L207/SUM(L$2:L$301)))</f>
        <v/>
      </c>
      <c r="T207">
        <f>IF(Datos!A207="","",(M207/SUM(M$2:M$301))*LN(M207/SUM(M$2:M$301)))</f>
        <v/>
      </c>
      <c r="U207">
        <f>IF(Datos!A207="","",(N207/SUM(N$2:N$301))*LN(N207/SUM(N$2:N$301)))</f>
        <v/>
      </c>
      <c r="V207">
        <f>IF(Datos!A207="","",(O207/SUM(O$2:O$301))*LN(O207/SUM(O$2:O$301)))</f>
        <v/>
      </c>
      <c r="X207">
        <f>IF(Datos!A207="","",IF(SUMSQ(C$2:C$301)=0,0,C207/SQRT(SUMSQ(C$2:C$301)))*$BE$2)</f>
        <v/>
      </c>
      <c r="Y207">
        <f>IF(Datos!A207="","",IF(SUMSQ(D$2:D$301)=0,0,D207/SQRT(SUMSQ(D$2:D$301)))*$BE$3)</f>
        <v/>
      </c>
      <c r="Z207">
        <f>IF(Datos!A207="","",IF(SUMSQ(E$2:E$301)=0,0,E207/SQRT(SUMSQ(E$2:E$301)))*$BE$4)</f>
        <v/>
      </c>
      <c r="AA207">
        <f>IF(Datos!A207="","",IF(SUMSQ(F$2:F$301)=0,0,F207/SQRT(SUMSQ(F$2:F$301)))*$BE$5)</f>
        <v/>
      </c>
      <c r="AB207">
        <f>IF(Datos!A207="","",IF(SUMSQ(G$2:G$301)=0,0,G207/SQRT(SUMSQ(G$2:G$301)))*$BE$6)</f>
        <v/>
      </c>
      <c r="AC207">
        <f>IF(Datos!A207="","",IF(SUMSQ(H$2:H$301)=0,0,H207/SQRT(SUMSQ(H$2:H$301)))*$BE$7)</f>
        <v/>
      </c>
      <c r="AE207">
        <f>IF(Datos!A207="","",SQRT(SUMXMY2(X207:AC207,$X$303:$AC$303)))</f>
        <v/>
      </c>
      <c r="AF207">
        <f>IF(Datos!A207="","",SQRT(SUMXMY2(X207:AC207,$X$304:$AC$304)))</f>
        <v/>
      </c>
      <c r="AG207" s="11">
        <f>IF(Datos!A207="","",IF(AE207+AF207&lt;0.000000001,0.5,AF207/(AE207+AF207)))</f>
        <v/>
      </c>
      <c r="AH207">
        <f>IF(Datos!A207="","",AG207*MAX(C207*D207,1))</f>
        <v/>
      </c>
      <c r="AI207">
        <f>IF(Datos!A207="","",SUMIF($AH$2:$AH$301,"&gt;="&amp;AH207,$AH$2:$AH$301)/SUM($AH$2:$AH$301))</f>
        <v/>
      </c>
      <c r="AJ207" s="12">
        <f>IF(Datos!A207="","",IF(AI207&lt;=Parametros!$B$13,"A",IF(AI207&lt;=Parametros!$B$14,"B","C")))</f>
        <v/>
      </c>
      <c r="AK207" s="13">
        <f>IF(Datos!A207="","",VLOOKUP(AJ207,Parametros!$A$8:$C$10,2,FALSE))</f>
        <v/>
      </c>
      <c r="AL207">
        <f>IF(Datos!A207="","",VLOOKUP(AJ207,Parametros!$A$8:$C$10,3,FALSE))</f>
        <v/>
      </c>
      <c r="AM207">
        <f>IF(Datos!A207="","",NORMSINV(AK207))</f>
        <v/>
      </c>
      <c r="AN207">
        <f>IF(Datos!A207="","",D207/Parametros!$B$4)</f>
        <v/>
      </c>
      <c r="AO207">
        <f>IF(Datos!A207="","",MAX(0,ROUNDUP(AM207*(AN207*Parametros!$B$3)*SQRT((AL207+E207)),0)))</f>
        <v/>
      </c>
      <c r="AP207">
        <f>IF(Datos!A207="","",MAX(1,ROUNDUP(AN207*(AL207+E207)+AM207*(AN207*Parametros!$B$3)*SQRT((AL207+E207)),0)))</f>
        <v/>
      </c>
      <c r="AQ207">
        <f>IF(Datos!A207="","",IF(Datos!J207="","",Datos!J207))</f>
        <v/>
      </c>
      <c r="AR207">
        <f>IF(OR(Datos!A207="",AQ207=""),"",MAX(0,AQ207-AP207))</f>
        <v/>
      </c>
      <c r="AS207" s="10">
        <f>IF(OR(Datos!A207="",AQ207=""),"",AR207*C207)</f>
        <v/>
      </c>
      <c r="AT207" s="12">
        <f>IF(OR(Datos!A207="",AQ207=""),"",IF(AQ207&lt;AO207,"SI",""))</f>
        <v/>
      </c>
      <c r="AU207">
        <f>IF(Datos!A207="","",IF(AT207="SI","Reponer ahora",IF(AND(AQ207&lt;&gt;"",AR207&gt;0),"Bajar "&amp;TEXT(AR207,"#,##0")&amp;" un.","En rango")))</f>
        <v/>
      </c>
    </row>
    <row r="208">
      <c r="A208">
        <f>IF(Datos!A208="","",Datos!A208)</f>
        <v/>
      </c>
      <c r="B208">
        <f>IF(Datos!A208="","",Datos!B208)</f>
        <v/>
      </c>
      <c r="C208">
        <f>IF(Datos!A208="","",IFERROR(MAX(0,N(Datos!D208)),0))</f>
        <v/>
      </c>
      <c r="D208">
        <f>IF(Datos!A208="","",IFERROR(MAX(0,N(Datos!E208)),0))</f>
        <v/>
      </c>
      <c r="E208">
        <f>IF(Datos!A208="","",IFERROR(MAX(0,N(Datos!F208)),0))</f>
        <v/>
      </c>
      <c r="F208">
        <f>IF(Datos!A208="","",IFERROR(MAX(0,N(Datos!G208)),0))</f>
        <v/>
      </c>
      <c r="G208">
        <f>IF(Datos!A208="","",IFERROR(MAX(0,N(Datos!H208)),0))</f>
        <v/>
      </c>
      <c r="H208">
        <f>IF(Datos!A208="","",IFERROR(MAX(0,N(Datos!I208)),0))</f>
        <v/>
      </c>
      <c r="J208">
        <f>IF(Datos!A208="","",IF(MAX(C$2:C$301)-MIN(C$2:C$301)&lt;0.000000001,0.5,(C208-MIN(C$2:C$301))/(MAX(C$2:C$301)-MIN(C$2:C$301)))+0.000000001)</f>
        <v/>
      </c>
      <c r="K208">
        <f>IF(Datos!A208="","",IF(MAX(D$2:D$301)-MIN(D$2:D$301)&lt;0.000000001,0.5,(D208-MIN(D$2:D$301))/(MAX(D$2:D$301)-MIN(D$2:D$301)))+0.000000001)</f>
        <v/>
      </c>
      <c r="L208">
        <f>IF(Datos!A208="","",IF(MAX(E$2:E$301)-MIN(E$2:E$301)&lt;0.000000001,0.5,(E208-MIN(E$2:E$301))/(MAX(E$2:E$301)-MIN(E$2:E$301)))+0.000000001)</f>
        <v/>
      </c>
      <c r="M208">
        <f>IF(Datos!A208="","",IF(MAX(F$2:F$301)-MIN(F$2:F$301)&lt;0.000000001,0.5,(F208-MIN(F$2:F$301))/(MAX(F$2:F$301)-MIN(F$2:F$301)))+0.000000001)</f>
        <v/>
      </c>
      <c r="N208">
        <f>IF(Datos!A208="","",IF(MAX(G$2:G$301)-MIN(G$2:G$301)&lt;0.000000001,0.5,(G208-MIN(G$2:G$301))/(MAX(G$2:G$301)-MIN(G$2:G$301)))+0.000000001)</f>
        <v/>
      </c>
      <c r="O208">
        <f>IF(Datos!A208="","",IF(MAX(H$2:H$301)-MIN(H$2:H$301)&lt;0.000000001,0.5,(H208-MIN(H$2:H$301))/(MAX(H$2:H$301)-MIN(H$2:H$301)))+0.000000001)</f>
        <v/>
      </c>
      <c r="Q208">
        <f>IF(Datos!A208="","",(J208/SUM(J$2:J$301))*LN(J208/SUM(J$2:J$301)))</f>
        <v/>
      </c>
      <c r="R208">
        <f>IF(Datos!A208="","",(K208/SUM(K$2:K$301))*LN(K208/SUM(K$2:K$301)))</f>
        <v/>
      </c>
      <c r="S208">
        <f>IF(Datos!A208="","",(L208/SUM(L$2:L$301))*LN(L208/SUM(L$2:L$301)))</f>
        <v/>
      </c>
      <c r="T208">
        <f>IF(Datos!A208="","",(M208/SUM(M$2:M$301))*LN(M208/SUM(M$2:M$301)))</f>
        <v/>
      </c>
      <c r="U208">
        <f>IF(Datos!A208="","",(N208/SUM(N$2:N$301))*LN(N208/SUM(N$2:N$301)))</f>
        <v/>
      </c>
      <c r="V208">
        <f>IF(Datos!A208="","",(O208/SUM(O$2:O$301))*LN(O208/SUM(O$2:O$301)))</f>
        <v/>
      </c>
      <c r="X208">
        <f>IF(Datos!A208="","",IF(SUMSQ(C$2:C$301)=0,0,C208/SQRT(SUMSQ(C$2:C$301)))*$BE$2)</f>
        <v/>
      </c>
      <c r="Y208">
        <f>IF(Datos!A208="","",IF(SUMSQ(D$2:D$301)=0,0,D208/SQRT(SUMSQ(D$2:D$301)))*$BE$3)</f>
        <v/>
      </c>
      <c r="Z208">
        <f>IF(Datos!A208="","",IF(SUMSQ(E$2:E$301)=0,0,E208/SQRT(SUMSQ(E$2:E$301)))*$BE$4)</f>
        <v/>
      </c>
      <c r="AA208">
        <f>IF(Datos!A208="","",IF(SUMSQ(F$2:F$301)=0,0,F208/SQRT(SUMSQ(F$2:F$301)))*$BE$5)</f>
        <v/>
      </c>
      <c r="AB208">
        <f>IF(Datos!A208="","",IF(SUMSQ(G$2:G$301)=0,0,G208/SQRT(SUMSQ(G$2:G$301)))*$BE$6)</f>
        <v/>
      </c>
      <c r="AC208">
        <f>IF(Datos!A208="","",IF(SUMSQ(H$2:H$301)=0,0,H208/SQRT(SUMSQ(H$2:H$301)))*$BE$7)</f>
        <v/>
      </c>
      <c r="AE208">
        <f>IF(Datos!A208="","",SQRT(SUMXMY2(X208:AC208,$X$303:$AC$303)))</f>
        <v/>
      </c>
      <c r="AF208">
        <f>IF(Datos!A208="","",SQRT(SUMXMY2(X208:AC208,$X$304:$AC$304)))</f>
        <v/>
      </c>
      <c r="AG208" s="11">
        <f>IF(Datos!A208="","",IF(AE208+AF208&lt;0.000000001,0.5,AF208/(AE208+AF208)))</f>
        <v/>
      </c>
      <c r="AH208">
        <f>IF(Datos!A208="","",AG208*MAX(C208*D208,1))</f>
        <v/>
      </c>
      <c r="AI208">
        <f>IF(Datos!A208="","",SUMIF($AH$2:$AH$301,"&gt;="&amp;AH208,$AH$2:$AH$301)/SUM($AH$2:$AH$301))</f>
        <v/>
      </c>
      <c r="AJ208" s="12">
        <f>IF(Datos!A208="","",IF(AI208&lt;=Parametros!$B$13,"A",IF(AI208&lt;=Parametros!$B$14,"B","C")))</f>
        <v/>
      </c>
      <c r="AK208" s="13">
        <f>IF(Datos!A208="","",VLOOKUP(AJ208,Parametros!$A$8:$C$10,2,FALSE))</f>
        <v/>
      </c>
      <c r="AL208">
        <f>IF(Datos!A208="","",VLOOKUP(AJ208,Parametros!$A$8:$C$10,3,FALSE))</f>
        <v/>
      </c>
      <c r="AM208">
        <f>IF(Datos!A208="","",NORMSINV(AK208))</f>
        <v/>
      </c>
      <c r="AN208">
        <f>IF(Datos!A208="","",D208/Parametros!$B$4)</f>
        <v/>
      </c>
      <c r="AO208">
        <f>IF(Datos!A208="","",MAX(0,ROUNDUP(AM208*(AN208*Parametros!$B$3)*SQRT((AL208+E208)),0)))</f>
        <v/>
      </c>
      <c r="AP208">
        <f>IF(Datos!A208="","",MAX(1,ROUNDUP(AN208*(AL208+E208)+AM208*(AN208*Parametros!$B$3)*SQRT((AL208+E208)),0)))</f>
        <v/>
      </c>
      <c r="AQ208">
        <f>IF(Datos!A208="","",IF(Datos!J208="","",Datos!J208))</f>
        <v/>
      </c>
      <c r="AR208">
        <f>IF(OR(Datos!A208="",AQ208=""),"",MAX(0,AQ208-AP208))</f>
        <v/>
      </c>
      <c r="AS208" s="10">
        <f>IF(OR(Datos!A208="",AQ208=""),"",AR208*C208)</f>
        <v/>
      </c>
      <c r="AT208" s="12">
        <f>IF(OR(Datos!A208="",AQ208=""),"",IF(AQ208&lt;AO208,"SI",""))</f>
        <v/>
      </c>
      <c r="AU208">
        <f>IF(Datos!A208="","",IF(AT208="SI","Reponer ahora",IF(AND(AQ208&lt;&gt;"",AR208&gt;0),"Bajar "&amp;TEXT(AR208,"#,##0")&amp;" un.","En rango")))</f>
        <v/>
      </c>
    </row>
    <row r="209">
      <c r="A209">
        <f>IF(Datos!A209="","",Datos!A209)</f>
        <v/>
      </c>
      <c r="B209">
        <f>IF(Datos!A209="","",Datos!B209)</f>
        <v/>
      </c>
      <c r="C209">
        <f>IF(Datos!A209="","",IFERROR(MAX(0,N(Datos!D209)),0))</f>
        <v/>
      </c>
      <c r="D209">
        <f>IF(Datos!A209="","",IFERROR(MAX(0,N(Datos!E209)),0))</f>
        <v/>
      </c>
      <c r="E209">
        <f>IF(Datos!A209="","",IFERROR(MAX(0,N(Datos!F209)),0))</f>
        <v/>
      </c>
      <c r="F209">
        <f>IF(Datos!A209="","",IFERROR(MAX(0,N(Datos!G209)),0))</f>
        <v/>
      </c>
      <c r="G209">
        <f>IF(Datos!A209="","",IFERROR(MAX(0,N(Datos!H209)),0))</f>
        <v/>
      </c>
      <c r="H209">
        <f>IF(Datos!A209="","",IFERROR(MAX(0,N(Datos!I209)),0))</f>
        <v/>
      </c>
      <c r="J209">
        <f>IF(Datos!A209="","",IF(MAX(C$2:C$301)-MIN(C$2:C$301)&lt;0.000000001,0.5,(C209-MIN(C$2:C$301))/(MAX(C$2:C$301)-MIN(C$2:C$301)))+0.000000001)</f>
        <v/>
      </c>
      <c r="K209">
        <f>IF(Datos!A209="","",IF(MAX(D$2:D$301)-MIN(D$2:D$301)&lt;0.000000001,0.5,(D209-MIN(D$2:D$301))/(MAX(D$2:D$301)-MIN(D$2:D$301)))+0.000000001)</f>
        <v/>
      </c>
      <c r="L209">
        <f>IF(Datos!A209="","",IF(MAX(E$2:E$301)-MIN(E$2:E$301)&lt;0.000000001,0.5,(E209-MIN(E$2:E$301))/(MAX(E$2:E$301)-MIN(E$2:E$301)))+0.000000001)</f>
        <v/>
      </c>
      <c r="M209">
        <f>IF(Datos!A209="","",IF(MAX(F$2:F$301)-MIN(F$2:F$301)&lt;0.000000001,0.5,(F209-MIN(F$2:F$301))/(MAX(F$2:F$301)-MIN(F$2:F$301)))+0.000000001)</f>
        <v/>
      </c>
      <c r="N209">
        <f>IF(Datos!A209="","",IF(MAX(G$2:G$301)-MIN(G$2:G$301)&lt;0.000000001,0.5,(G209-MIN(G$2:G$301))/(MAX(G$2:G$301)-MIN(G$2:G$301)))+0.000000001)</f>
        <v/>
      </c>
      <c r="O209">
        <f>IF(Datos!A209="","",IF(MAX(H$2:H$301)-MIN(H$2:H$301)&lt;0.000000001,0.5,(H209-MIN(H$2:H$301))/(MAX(H$2:H$301)-MIN(H$2:H$301)))+0.000000001)</f>
        <v/>
      </c>
      <c r="Q209">
        <f>IF(Datos!A209="","",(J209/SUM(J$2:J$301))*LN(J209/SUM(J$2:J$301)))</f>
        <v/>
      </c>
      <c r="R209">
        <f>IF(Datos!A209="","",(K209/SUM(K$2:K$301))*LN(K209/SUM(K$2:K$301)))</f>
        <v/>
      </c>
      <c r="S209">
        <f>IF(Datos!A209="","",(L209/SUM(L$2:L$301))*LN(L209/SUM(L$2:L$301)))</f>
        <v/>
      </c>
      <c r="T209">
        <f>IF(Datos!A209="","",(M209/SUM(M$2:M$301))*LN(M209/SUM(M$2:M$301)))</f>
        <v/>
      </c>
      <c r="U209">
        <f>IF(Datos!A209="","",(N209/SUM(N$2:N$301))*LN(N209/SUM(N$2:N$301)))</f>
        <v/>
      </c>
      <c r="V209">
        <f>IF(Datos!A209="","",(O209/SUM(O$2:O$301))*LN(O209/SUM(O$2:O$301)))</f>
        <v/>
      </c>
      <c r="X209">
        <f>IF(Datos!A209="","",IF(SUMSQ(C$2:C$301)=0,0,C209/SQRT(SUMSQ(C$2:C$301)))*$BE$2)</f>
        <v/>
      </c>
      <c r="Y209">
        <f>IF(Datos!A209="","",IF(SUMSQ(D$2:D$301)=0,0,D209/SQRT(SUMSQ(D$2:D$301)))*$BE$3)</f>
        <v/>
      </c>
      <c r="Z209">
        <f>IF(Datos!A209="","",IF(SUMSQ(E$2:E$301)=0,0,E209/SQRT(SUMSQ(E$2:E$301)))*$BE$4)</f>
        <v/>
      </c>
      <c r="AA209">
        <f>IF(Datos!A209="","",IF(SUMSQ(F$2:F$301)=0,0,F209/SQRT(SUMSQ(F$2:F$301)))*$BE$5)</f>
        <v/>
      </c>
      <c r="AB209">
        <f>IF(Datos!A209="","",IF(SUMSQ(G$2:G$301)=0,0,G209/SQRT(SUMSQ(G$2:G$301)))*$BE$6)</f>
        <v/>
      </c>
      <c r="AC209">
        <f>IF(Datos!A209="","",IF(SUMSQ(H$2:H$301)=0,0,H209/SQRT(SUMSQ(H$2:H$301)))*$BE$7)</f>
        <v/>
      </c>
      <c r="AE209">
        <f>IF(Datos!A209="","",SQRT(SUMXMY2(X209:AC209,$X$303:$AC$303)))</f>
        <v/>
      </c>
      <c r="AF209">
        <f>IF(Datos!A209="","",SQRT(SUMXMY2(X209:AC209,$X$304:$AC$304)))</f>
        <v/>
      </c>
      <c r="AG209" s="11">
        <f>IF(Datos!A209="","",IF(AE209+AF209&lt;0.000000001,0.5,AF209/(AE209+AF209)))</f>
        <v/>
      </c>
      <c r="AH209">
        <f>IF(Datos!A209="","",AG209*MAX(C209*D209,1))</f>
        <v/>
      </c>
      <c r="AI209">
        <f>IF(Datos!A209="","",SUMIF($AH$2:$AH$301,"&gt;="&amp;AH209,$AH$2:$AH$301)/SUM($AH$2:$AH$301))</f>
        <v/>
      </c>
      <c r="AJ209" s="12">
        <f>IF(Datos!A209="","",IF(AI209&lt;=Parametros!$B$13,"A",IF(AI209&lt;=Parametros!$B$14,"B","C")))</f>
        <v/>
      </c>
      <c r="AK209" s="13">
        <f>IF(Datos!A209="","",VLOOKUP(AJ209,Parametros!$A$8:$C$10,2,FALSE))</f>
        <v/>
      </c>
      <c r="AL209">
        <f>IF(Datos!A209="","",VLOOKUP(AJ209,Parametros!$A$8:$C$10,3,FALSE))</f>
        <v/>
      </c>
      <c r="AM209">
        <f>IF(Datos!A209="","",NORMSINV(AK209))</f>
        <v/>
      </c>
      <c r="AN209">
        <f>IF(Datos!A209="","",D209/Parametros!$B$4)</f>
        <v/>
      </c>
      <c r="AO209">
        <f>IF(Datos!A209="","",MAX(0,ROUNDUP(AM209*(AN209*Parametros!$B$3)*SQRT((AL209+E209)),0)))</f>
        <v/>
      </c>
      <c r="AP209">
        <f>IF(Datos!A209="","",MAX(1,ROUNDUP(AN209*(AL209+E209)+AM209*(AN209*Parametros!$B$3)*SQRT((AL209+E209)),0)))</f>
        <v/>
      </c>
      <c r="AQ209">
        <f>IF(Datos!A209="","",IF(Datos!J209="","",Datos!J209))</f>
        <v/>
      </c>
      <c r="AR209">
        <f>IF(OR(Datos!A209="",AQ209=""),"",MAX(0,AQ209-AP209))</f>
        <v/>
      </c>
      <c r="AS209" s="10">
        <f>IF(OR(Datos!A209="",AQ209=""),"",AR209*C209)</f>
        <v/>
      </c>
      <c r="AT209" s="12">
        <f>IF(OR(Datos!A209="",AQ209=""),"",IF(AQ209&lt;AO209,"SI",""))</f>
        <v/>
      </c>
      <c r="AU209">
        <f>IF(Datos!A209="","",IF(AT209="SI","Reponer ahora",IF(AND(AQ209&lt;&gt;"",AR209&gt;0),"Bajar "&amp;TEXT(AR209,"#,##0")&amp;" un.","En rango")))</f>
        <v/>
      </c>
    </row>
    <row r="210">
      <c r="A210">
        <f>IF(Datos!A210="","",Datos!A210)</f>
        <v/>
      </c>
      <c r="B210">
        <f>IF(Datos!A210="","",Datos!B210)</f>
        <v/>
      </c>
      <c r="C210">
        <f>IF(Datos!A210="","",IFERROR(MAX(0,N(Datos!D210)),0))</f>
        <v/>
      </c>
      <c r="D210">
        <f>IF(Datos!A210="","",IFERROR(MAX(0,N(Datos!E210)),0))</f>
        <v/>
      </c>
      <c r="E210">
        <f>IF(Datos!A210="","",IFERROR(MAX(0,N(Datos!F210)),0))</f>
        <v/>
      </c>
      <c r="F210">
        <f>IF(Datos!A210="","",IFERROR(MAX(0,N(Datos!G210)),0))</f>
        <v/>
      </c>
      <c r="G210">
        <f>IF(Datos!A210="","",IFERROR(MAX(0,N(Datos!H210)),0))</f>
        <v/>
      </c>
      <c r="H210">
        <f>IF(Datos!A210="","",IFERROR(MAX(0,N(Datos!I210)),0))</f>
        <v/>
      </c>
      <c r="J210">
        <f>IF(Datos!A210="","",IF(MAX(C$2:C$301)-MIN(C$2:C$301)&lt;0.000000001,0.5,(C210-MIN(C$2:C$301))/(MAX(C$2:C$301)-MIN(C$2:C$301)))+0.000000001)</f>
        <v/>
      </c>
      <c r="K210">
        <f>IF(Datos!A210="","",IF(MAX(D$2:D$301)-MIN(D$2:D$301)&lt;0.000000001,0.5,(D210-MIN(D$2:D$301))/(MAX(D$2:D$301)-MIN(D$2:D$301)))+0.000000001)</f>
        <v/>
      </c>
      <c r="L210">
        <f>IF(Datos!A210="","",IF(MAX(E$2:E$301)-MIN(E$2:E$301)&lt;0.000000001,0.5,(E210-MIN(E$2:E$301))/(MAX(E$2:E$301)-MIN(E$2:E$301)))+0.000000001)</f>
        <v/>
      </c>
      <c r="M210">
        <f>IF(Datos!A210="","",IF(MAX(F$2:F$301)-MIN(F$2:F$301)&lt;0.000000001,0.5,(F210-MIN(F$2:F$301))/(MAX(F$2:F$301)-MIN(F$2:F$301)))+0.000000001)</f>
        <v/>
      </c>
      <c r="N210">
        <f>IF(Datos!A210="","",IF(MAX(G$2:G$301)-MIN(G$2:G$301)&lt;0.000000001,0.5,(G210-MIN(G$2:G$301))/(MAX(G$2:G$301)-MIN(G$2:G$301)))+0.000000001)</f>
        <v/>
      </c>
      <c r="O210">
        <f>IF(Datos!A210="","",IF(MAX(H$2:H$301)-MIN(H$2:H$301)&lt;0.000000001,0.5,(H210-MIN(H$2:H$301))/(MAX(H$2:H$301)-MIN(H$2:H$301)))+0.000000001)</f>
        <v/>
      </c>
      <c r="Q210">
        <f>IF(Datos!A210="","",(J210/SUM(J$2:J$301))*LN(J210/SUM(J$2:J$301)))</f>
        <v/>
      </c>
      <c r="R210">
        <f>IF(Datos!A210="","",(K210/SUM(K$2:K$301))*LN(K210/SUM(K$2:K$301)))</f>
        <v/>
      </c>
      <c r="S210">
        <f>IF(Datos!A210="","",(L210/SUM(L$2:L$301))*LN(L210/SUM(L$2:L$301)))</f>
        <v/>
      </c>
      <c r="T210">
        <f>IF(Datos!A210="","",(M210/SUM(M$2:M$301))*LN(M210/SUM(M$2:M$301)))</f>
        <v/>
      </c>
      <c r="U210">
        <f>IF(Datos!A210="","",(N210/SUM(N$2:N$301))*LN(N210/SUM(N$2:N$301)))</f>
        <v/>
      </c>
      <c r="V210">
        <f>IF(Datos!A210="","",(O210/SUM(O$2:O$301))*LN(O210/SUM(O$2:O$301)))</f>
        <v/>
      </c>
      <c r="X210">
        <f>IF(Datos!A210="","",IF(SUMSQ(C$2:C$301)=0,0,C210/SQRT(SUMSQ(C$2:C$301)))*$BE$2)</f>
        <v/>
      </c>
      <c r="Y210">
        <f>IF(Datos!A210="","",IF(SUMSQ(D$2:D$301)=0,0,D210/SQRT(SUMSQ(D$2:D$301)))*$BE$3)</f>
        <v/>
      </c>
      <c r="Z210">
        <f>IF(Datos!A210="","",IF(SUMSQ(E$2:E$301)=0,0,E210/SQRT(SUMSQ(E$2:E$301)))*$BE$4)</f>
        <v/>
      </c>
      <c r="AA210">
        <f>IF(Datos!A210="","",IF(SUMSQ(F$2:F$301)=0,0,F210/SQRT(SUMSQ(F$2:F$301)))*$BE$5)</f>
        <v/>
      </c>
      <c r="AB210">
        <f>IF(Datos!A210="","",IF(SUMSQ(G$2:G$301)=0,0,G210/SQRT(SUMSQ(G$2:G$301)))*$BE$6)</f>
        <v/>
      </c>
      <c r="AC210">
        <f>IF(Datos!A210="","",IF(SUMSQ(H$2:H$301)=0,0,H210/SQRT(SUMSQ(H$2:H$301)))*$BE$7)</f>
        <v/>
      </c>
      <c r="AE210">
        <f>IF(Datos!A210="","",SQRT(SUMXMY2(X210:AC210,$X$303:$AC$303)))</f>
        <v/>
      </c>
      <c r="AF210">
        <f>IF(Datos!A210="","",SQRT(SUMXMY2(X210:AC210,$X$304:$AC$304)))</f>
        <v/>
      </c>
      <c r="AG210" s="11">
        <f>IF(Datos!A210="","",IF(AE210+AF210&lt;0.000000001,0.5,AF210/(AE210+AF210)))</f>
        <v/>
      </c>
      <c r="AH210">
        <f>IF(Datos!A210="","",AG210*MAX(C210*D210,1))</f>
        <v/>
      </c>
      <c r="AI210">
        <f>IF(Datos!A210="","",SUMIF($AH$2:$AH$301,"&gt;="&amp;AH210,$AH$2:$AH$301)/SUM($AH$2:$AH$301))</f>
        <v/>
      </c>
      <c r="AJ210" s="12">
        <f>IF(Datos!A210="","",IF(AI210&lt;=Parametros!$B$13,"A",IF(AI210&lt;=Parametros!$B$14,"B","C")))</f>
        <v/>
      </c>
      <c r="AK210" s="13">
        <f>IF(Datos!A210="","",VLOOKUP(AJ210,Parametros!$A$8:$C$10,2,FALSE))</f>
        <v/>
      </c>
      <c r="AL210">
        <f>IF(Datos!A210="","",VLOOKUP(AJ210,Parametros!$A$8:$C$10,3,FALSE))</f>
        <v/>
      </c>
      <c r="AM210">
        <f>IF(Datos!A210="","",NORMSINV(AK210))</f>
        <v/>
      </c>
      <c r="AN210">
        <f>IF(Datos!A210="","",D210/Parametros!$B$4)</f>
        <v/>
      </c>
      <c r="AO210">
        <f>IF(Datos!A210="","",MAX(0,ROUNDUP(AM210*(AN210*Parametros!$B$3)*SQRT((AL210+E210)),0)))</f>
        <v/>
      </c>
      <c r="AP210">
        <f>IF(Datos!A210="","",MAX(1,ROUNDUP(AN210*(AL210+E210)+AM210*(AN210*Parametros!$B$3)*SQRT((AL210+E210)),0)))</f>
        <v/>
      </c>
      <c r="AQ210">
        <f>IF(Datos!A210="","",IF(Datos!J210="","",Datos!J210))</f>
        <v/>
      </c>
      <c r="AR210">
        <f>IF(OR(Datos!A210="",AQ210=""),"",MAX(0,AQ210-AP210))</f>
        <v/>
      </c>
      <c r="AS210" s="10">
        <f>IF(OR(Datos!A210="",AQ210=""),"",AR210*C210)</f>
        <v/>
      </c>
      <c r="AT210" s="12">
        <f>IF(OR(Datos!A210="",AQ210=""),"",IF(AQ210&lt;AO210,"SI",""))</f>
        <v/>
      </c>
      <c r="AU210">
        <f>IF(Datos!A210="","",IF(AT210="SI","Reponer ahora",IF(AND(AQ210&lt;&gt;"",AR210&gt;0),"Bajar "&amp;TEXT(AR210,"#,##0")&amp;" un.","En rango")))</f>
        <v/>
      </c>
    </row>
    <row r="211">
      <c r="A211">
        <f>IF(Datos!A211="","",Datos!A211)</f>
        <v/>
      </c>
      <c r="B211">
        <f>IF(Datos!A211="","",Datos!B211)</f>
        <v/>
      </c>
      <c r="C211">
        <f>IF(Datos!A211="","",IFERROR(MAX(0,N(Datos!D211)),0))</f>
        <v/>
      </c>
      <c r="D211">
        <f>IF(Datos!A211="","",IFERROR(MAX(0,N(Datos!E211)),0))</f>
        <v/>
      </c>
      <c r="E211">
        <f>IF(Datos!A211="","",IFERROR(MAX(0,N(Datos!F211)),0))</f>
        <v/>
      </c>
      <c r="F211">
        <f>IF(Datos!A211="","",IFERROR(MAX(0,N(Datos!G211)),0))</f>
        <v/>
      </c>
      <c r="G211">
        <f>IF(Datos!A211="","",IFERROR(MAX(0,N(Datos!H211)),0))</f>
        <v/>
      </c>
      <c r="H211">
        <f>IF(Datos!A211="","",IFERROR(MAX(0,N(Datos!I211)),0))</f>
        <v/>
      </c>
      <c r="J211">
        <f>IF(Datos!A211="","",IF(MAX(C$2:C$301)-MIN(C$2:C$301)&lt;0.000000001,0.5,(C211-MIN(C$2:C$301))/(MAX(C$2:C$301)-MIN(C$2:C$301)))+0.000000001)</f>
        <v/>
      </c>
      <c r="K211">
        <f>IF(Datos!A211="","",IF(MAX(D$2:D$301)-MIN(D$2:D$301)&lt;0.000000001,0.5,(D211-MIN(D$2:D$301))/(MAX(D$2:D$301)-MIN(D$2:D$301)))+0.000000001)</f>
        <v/>
      </c>
      <c r="L211">
        <f>IF(Datos!A211="","",IF(MAX(E$2:E$301)-MIN(E$2:E$301)&lt;0.000000001,0.5,(E211-MIN(E$2:E$301))/(MAX(E$2:E$301)-MIN(E$2:E$301)))+0.000000001)</f>
        <v/>
      </c>
      <c r="M211">
        <f>IF(Datos!A211="","",IF(MAX(F$2:F$301)-MIN(F$2:F$301)&lt;0.000000001,0.5,(F211-MIN(F$2:F$301))/(MAX(F$2:F$301)-MIN(F$2:F$301)))+0.000000001)</f>
        <v/>
      </c>
      <c r="N211">
        <f>IF(Datos!A211="","",IF(MAX(G$2:G$301)-MIN(G$2:G$301)&lt;0.000000001,0.5,(G211-MIN(G$2:G$301))/(MAX(G$2:G$301)-MIN(G$2:G$301)))+0.000000001)</f>
        <v/>
      </c>
      <c r="O211">
        <f>IF(Datos!A211="","",IF(MAX(H$2:H$301)-MIN(H$2:H$301)&lt;0.000000001,0.5,(H211-MIN(H$2:H$301))/(MAX(H$2:H$301)-MIN(H$2:H$301)))+0.000000001)</f>
        <v/>
      </c>
      <c r="Q211">
        <f>IF(Datos!A211="","",(J211/SUM(J$2:J$301))*LN(J211/SUM(J$2:J$301)))</f>
        <v/>
      </c>
      <c r="R211">
        <f>IF(Datos!A211="","",(K211/SUM(K$2:K$301))*LN(K211/SUM(K$2:K$301)))</f>
        <v/>
      </c>
      <c r="S211">
        <f>IF(Datos!A211="","",(L211/SUM(L$2:L$301))*LN(L211/SUM(L$2:L$301)))</f>
        <v/>
      </c>
      <c r="T211">
        <f>IF(Datos!A211="","",(M211/SUM(M$2:M$301))*LN(M211/SUM(M$2:M$301)))</f>
        <v/>
      </c>
      <c r="U211">
        <f>IF(Datos!A211="","",(N211/SUM(N$2:N$301))*LN(N211/SUM(N$2:N$301)))</f>
        <v/>
      </c>
      <c r="V211">
        <f>IF(Datos!A211="","",(O211/SUM(O$2:O$301))*LN(O211/SUM(O$2:O$301)))</f>
        <v/>
      </c>
      <c r="X211">
        <f>IF(Datos!A211="","",IF(SUMSQ(C$2:C$301)=0,0,C211/SQRT(SUMSQ(C$2:C$301)))*$BE$2)</f>
        <v/>
      </c>
      <c r="Y211">
        <f>IF(Datos!A211="","",IF(SUMSQ(D$2:D$301)=0,0,D211/SQRT(SUMSQ(D$2:D$301)))*$BE$3)</f>
        <v/>
      </c>
      <c r="Z211">
        <f>IF(Datos!A211="","",IF(SUMSQ(E$2:E$301)=0,0,E211/SQRT(SUMSQ(E$2:E$301)))*$BE$4)</f>
        <v/>
      </c>
      <c r="AA211">
        <f>IF(Datos!A211="","",IF(SUMSQ(F$2:F$301)=0,0,F211/SQRT(SUMSQ(F$2:F$301)))*$BE$5)</f>
        <v/>
      </c>
      <c r="AB211">
        <f>IF(Datos!A211="","",IF(SUMSQ(G$2:G$301)=0,0,G211/SQRT(SUMSQ(G$2:G$301)))*$BE$6)</f>
        <v/>
      </c>
      <c r="AC211">
        <f>IF(Datos!A211="","",IF(SUMSQ(H$2:H$301)=0,0,H211/SQRT(SUMSQ(H$2:H$301)))*$BE$7)</f>
        <v/>
      </c>
      <c r="AE211">
        <f>IF(Datos!A211="","",SQRT(SUMXMY2(X211:AC211,$X$303:$AC$303)))</f>
        <v/>
      </c>
      <c r="AF211">
        <f>IF(Datos!A211="","",SQRT(SUMXMY2(X211:AC211,$X$304:$AC$304)))</f>
        <v/>
      </c>
      <c r="AG211" s="11">
        <f>IF(Datos!A211="","",IF(AE211+AF211&lt;0.000000001,0.5,AF211/(AE211+AF211)))</f>
        <v/>
      </c>
      <c r="AH211">
        <f>IF(Datos!A211="","",AG211*MAX(C211*D211,1))</f>
        <v/>
      </c>
      <c r="AI211">
        <f>IF(Datos!A211="","",SUMIF($AH$2:$AH$301,"&gt;="&amp;AH211,$AH$2:$AH$301)/SUM($AH$2:$AH$301))</f>
        <v/>
      </c>
      <c r="AJ211" s="12">
        <f>IF(Datos!A211="","",IF(AI211&lt;=Parametros!$B$13,"A",IF(AI211&lt;=Parametros!$B$14,"B","C")))</f>
        <v/>
      </c>
      <c r="AK211" s="13">
        <f>IF(Datos!A211="","",VLOOKUP(AJ211,Parametros!$A$8:$C$10,2,FALSE))</f>
        <v/>
      </c>
      <c r="AL211">
        <f>IF(Datos!A211="","",VLOOKUP(AJ211,Parametros!$A$8:$C$10,3,FALSE))</f>
        <v/>
      </c>
      <c r="AM211">
        <f>IF(Datos!A211="","",NORMSINV(AK211))</f>
        <v/>
      </c>
      <c r="AN211">
        <f>IF(Datos!A211="","",D211/Parametros!$B$4)</f>
        <v/>
      </c>
      <c r="AO211">
        <f>IF(Datos!A211="","",MAX(0,ROUNDUP(AM211*(AN211*Parametros!$B$3)*SQRT((AL211+E211)),0)))</f>
        <v/>
      </c>
      <c r="AP211">
        <f>IF(Datos!A211="","",MAX(1,ROUNDUP(AN211*(AL211+E211)+AM211*(AN211*Parametros!$B$3)*SQRT((AL211+E211)),0)))</f>
        <v/>
      </c>
      <c r="AQ211">
        <f>IF(Datos!A211="","",IF(Datos!J211="","",Datos!J211))</f>
        <v/>
      </c>
      <c r="AR211">
        <f>IF(OR(Datos!A211="",AQ211=""),"",MAX(0,AQ211-AP211))</f>
        <v/>
      </c>
      <c r="AS211" s="10">
        <f>IF(OR(Datos!A211="",AQ211=""),"",AR211*C211)</f>
        <v/>
      </c>
      <c r="AT211" s="12">
        <f>IF(OR(Datos!A211="",AQ211=""),"",IF(AQ211&lt;AO211,"SI",""))</f>
        <v/>
      </c>
      <c r="AU211">
        <f>IF(Datos!A211="","",IF(AT211="SI","Reponer ahora",IF(AND(AQ211&lt;&gt;"",AR211&gt;0),"Bajar "&amp;TEXT(AR211,"#,##0")&amp;" un.","En rango")))</f>
        <v/>
      </c>
    </row>
    <row r="212">
      <c r="A212">
        <f>IF(Datos!A212="","",Datos!A212)</f>
        <v/>
      </c>
      <c r="B212">
        <f>IF(Datos!A212="","",Datos!B212)</f>
        <v/>
      </c>
      <c r="C212">
        <f>IF(Datos!A212="","",IFERROR(MAX(0,N(Datos!D212)),0))</f>
        <v/>
      </c>
      <c r="D212">
        <f>IF(Datos!A212="","",IFERROR(MAX(0,N(Datos!E212)),0))</f>
        <v/>
      </c>
      <c r="E212">
        <f>IF(Datos!A212="","",IFERROR(MAX(0,N(Datos!F212)),0))</f>
        <v/>
      </c>
      <c r="F212">
        <f>IF(Datos!A212="","",IFERROR(MAX(0,N(Datos!G212)),0))</f>
        <v/>
      </c>
      <c r="G212">
        <f>IF(Datos!A212="","",IFERROR(MAX(0,N(Datos!H212)),0))</f>
        <v/>
      </c>
      <c r="H212">
        <f>IF(Datos!A212="","",IFERROR(MAX(0,N(Datos!I212)),0))</f>
        <v/>
      </c>
      <c r="J212">
        <f>IF(Datos!A212="","",IF(MAX(C$2:C$301)-MIN(C$2:C$301)&lt;0.000000001,0.5,(C212-MIN(C$2:C$301))/(MAX(C$2:C$301)-MIN(C$2:C$301)))+0.000000001)</f>
        <v/>
      </c>
      <c r="K212">
        <f>IF(Datos!A212="","",IF(MAX(D$2:D$301)-MIN(D$2:D$301)&lt;0.000000001,0.5,(D212-MIN(D$2:D$301))/(MAX(D$2:D$301)-MIN(D$2:D$301)))+0.000000001)</f>
        <v/>
      </c>
      <c r="L212">
        <f>IF(Datos!A212="","",IF(MAX(E$2:E$301)-MIN(E$2:E$301)&lt;0.000000001,0.5,(E212-MIN(E$2:E$301))/(MAX(E$2:E$301)-MIN(E$2:E$301)))+0.000000001)</f>
        <v/>
      </c>
      <c r="M212">
        <f>IF(Datos!A212="","",IF(MAX(F$2:F$301)-MIN(F$2:F$301)&lt;0.000000001,0.5,(F212-MIN(F$2:F$301))/(MAX(F$2:F$301)-MIN(F$2:F$301)))+0.000000001)</f>
        <v/>
      </c>
      <c r="N212">
        <f>IF(Datos!A212="","",IF(MAX(G$2:G$301)-MIN(G$2:G$301)&lt;0.000000001,0.5,(G212-MIN(G$2:G$301))/(MAX(G$2:G$301)-MIN(G$2:G$301)))+0.000000001)</f>
        <v/>
      </c>
      <c r="O212">
        <f>IF(Datos!A212="","",IF(MAX(H$2:H$301)-MIN(H$2:H$301)&lt;0.000000001,0.5,(H212-MIN(H$2:H$301))/(MAX(H$2:H$301)-MIN(H$2:H$301)))+0.000000001)</f>
        <v/>
      </c>
      <c r="Q212">
        <f>IF(Datos!A212="","",(J212/SUM(J$2:J$301))*LN(J212/SUM(J$2:J$301)))</f>
        <v/>
      </c>
      <c r="R212">
        <f>IF(Datos!A212="","",(K212/SUM(K$2:K$301))*LN(K212/SUM(K$2:K$301)))</f>
        <v/>
      </c>
      <c r="S212">
        <f>IF(Datos!A212="","",(L212/SUM(L$2:L$301))*LN(L212/SUM(L$2:L$301)))</f>
        <v/>
      </c>
      <c r="T212">
        <f>IF(Datos!A212="","",(M212/SUM(M$2:M$301))*LN(M212/SUM(M$2:M$301)))</f>
        <v/>
      </c>
      <c r="U212">
        <f>IF(Datos!A212="","",(N212/SUM(N$2:N$301))*LN(N212/SUM(N$2:N$301)))</f>
        <v/>
      </c>
      <c r="V212">
        <f>IF(Datos!A212="","",(O212/SUM(O$2:O$301))*LN(O212/SUM(O$2:O$301)))</f>
        <v/>
      </c>
      <c r="X212">
        <f>IF(Datos!A212="","",IF(SUMSQ(C$2:C$301)=0,0,C212/SQRT(SUMSQ(C$2:C$301)))*$BE$2)</f>
        <v/>
      </c>
      <c r="Y212">
        <f>IF(Datos!A212="","",IF(SUMSQ(D$2:D$301)=0,0,D212/SQRT(SUMSQ(D$2:D$301)))*$BE$3)</f>
        <v/>
      </c>
      <c r="Z212">
        <f>IF(Datos!A212="","",IF(SUMSQ(E$2:E$301)=0,0,E212/SQRT(SUMSQ(E$2:E$301)))*$BE$4)</f>
        <v/>
      </c>
      <c r="AA212">
        <f>IF(Datos!A212="","",IF(SUMSQ(F$2:F$301)=0,0,F212/SQRT(SUMSQ(F$2:F$301)))*$BE$5)</f>
        <v/>
      </c>
      <c r="AB212">
        <f>IF(Datos!A212="","",IF(SUMSQ(G$2:G$301)=0,0,G212/SQRT(SUMSQ(G$2:G$301)))*$BE$6)</f>
        <v/>
      </c>
      <c r="AC212">
        <f>IF(Datos!A212="","",IF(SUMSQ(H$2:H$301)=0,0,H212/SQRT(SUMSQ(H$2:H$301)))*$BE$7)</f>
        <v/>
      </c>
      <c r="AE212">
        <f>IF(Datos!A212="","",SQRT(SUMXMY2(X212:AC212,$X$303:$AC$303)))</f>
        <v/>
      </c>
      <c r="AF212">
        <f>IF(Datos!A212="","",SQRT(SUMXMY2(X212:AC212,$X$304:$AC$304)))</f>
        <v/>
      </c>
      <c r="AG212" s="11">
        <f>IF(Datos!A212="","",IF(AE212+AF212&lt;0.000000001,0.5,AF212/(AE212+AF212)))</f>
        <v/>
      </c>
      <c r="AH212">
        <f>IF(Datos!A212="","",AG212*MAX(C212*D212,1))</f>
        <v/>
      </c>
      <c r="AI212">
        <f>IF(Datos!A212="","",SUMIF($AH$2:$AH$301,"&gt;="&amp;AH212,$AH$2:$AH$301)/SUM($AH$2:$AH$301))</f>
        <v/>
      </c>
      <c r="AJ212" s="12">
        <f>IF(Datos!A212="","",IF(AI212&lt;=Parametros!$B$13,"A",IF(AI212&lt;=Parametros!$B$14,"B","C")))</f>
        <v/>
      </c>
      <c r="AK212" s="13">
        <f>IF(Datos!A212="","",VLOOKUP(AJ212,Parametros!$A$8:$C$10,2,FALSE))</f>
        <v/>
      </c>
      <c r="AL212">
        <f>IF(Datos!A212="","",VLOOKUP(AJ212,Parametros!$A$8:$C$10,3,FALSE))</f>
        <v/>
      </c>
      <c r="AM212">
        <f>IF(Datos!A212="","",NORMSINV(AK212))</f>
        <v/>
      </c>
      <c r="AN212">
        <f>IF(Datos!A212="","",D212/Parametros!$B$4)</f>
        <v/>
      </c>
      <c r="AO212">
        <f>IF(Datos!A212="","",MAX(0,ROUNDUP(AM212*(AN212*Parametros!$B$3)*SQRT((AL212+E212)),0)))</f>
        <v/>
      </c>
      <c r="AP212">
        <f>IF(Datos!A212="","",MAX(1,ROUNDUP(AN212*(AL212+E212)+AM212*(AN212*Parametros!$B$3)*SQRT((AL212+E212)),0)))</f>
        <v/>
      </c>
      <c r="AQ212">
        <f>IF(Datos!A212="","",IF(Datos!J212="","",Datos!J212))</f>
        <v/>
      </c>
      <c r="AR212">
        <f>IF(OR(Datos!A212="",AQ212=""),"",MAX(0,AQ212-AP212))</f>
        <v/>
      </c>
      <c r="AS212" s="10">
        <f>IF(OR(Datos!A212="",AQ212=""),"",AR212*C212)</f>
        <v/>
      </c>
      <c r="AT212" s="12">
        <f>IF(OR(Datos!A212="",AQ212=""),"",IF(AQ212&lt;AO212,"SI",""))</f>
        <v/>
      </c>
      <c r="AU212">
        <f>IF(Datos!A212="","",IF(AT212="SI","Reponer ahora",IF(AND(AQ212&lt;&gt;"",AR212&gt;0),"Bajar "&amp;TEXT(AR212,"#,##0")&amp;" un.","En rango")))</f>
        <v/>
      </c>
    </row>
    <row r="213">
      <c r="A213">
        <f>IF(Datos!A213="","",Datos!A213)</f>
        <v/>
      </c>
      <c r="B213">
        <f>IF(Datos!A213="","",Datos!B213)</f>
        <v/>
      </c>
      <c r="C213">
        <f>IF(Datos!A213="","",IFERROR(MAX(0,N(Datos!D213)),0))</f>
        <v/>
      </c>
      <c r="D213">
        <f>IF(Datos!A213="","",IFERROR(MAX(0,N(Datos!E213)),0))</f>
        <v/>
      </c>
      <c r="E213">
        <f>IF(Datos!A213="","",IFERROR(MAX(0,N(Datos!F213)),0))</f>
        <v/>
      </c>
      <c r="F213">
        <f>IF(Datos!A213="","",IFERROR(MAX(0,N(Datos!G213)),0))</f>
        <v/>
      </c>
      <c r="G213">
        <f>IF(Datos!A213="","",IFERROR(MAX(0,N(Datos!H213)),0))</f>
        <v/>
      </c>
      <c r="H213">
        <f>IF(Datos!A213="","",IFERROR(MAX(0,N(Datos!I213)),0))</f>
        <v/>
      </c>
      <c r="J213">
        <f>IF(Datos!A213="","",IF(MAX(C$2:C$301)-MIN(C$2:C$301)&lt;0.000000001,0.5,(C213-MIN(C$2:C$301))/(MAX(C$2:C$301)-MIN(C$2:C$301)))+0.000000001)</f>
        <v/>
      </c>
      <c r="K213">
        <f>IF(Datos!A213="","",IF(MAX(D$2:D$301)-MIN(D$2:D$301)&lt;0.000000001,0.5,(D213-MIN(D$2:D$301))/(MAX(D$2:D$301)-MIN(D$2:D$301)))+0.000000001)</f>
        <v/>
      </c>
      <c r="L213">
        <f>IF(Datos!A213="","",IF(MAX(E$2:E$301)-MIN(E$2:E$301)&lt;0.000000001,0.5,(E213-MIN(E$2:E$301))/(MAX(E$2:E$301)-MIN(E$2:E$301)))+0.000000001)</f>
        <v/>
      </c>
      <c r="M213">
        <f>IF(Datos!A213="","",IF(MAX(F$2:F$301)-MIN(F$2:F$301)&lt;0.000000001,0.5,(F213-MIN(F$2:F$301))/(MAX(F$2:F$301)-MIN(F$2:F$301)))+0.000000001)</f>
        <v/>
      </c>
      <c r="N213">
        <f>IF(Datos!A213="","",IF(MAX(G$2:G$301)-MIN(G$2:G$301)&lt;0.000000001,0.5,(G213-MIN(G$2:G$301))/(MAX(G$2:G$301)-MIN(G$2:G$301)))+0.000000001)</f>
        <v/>
      </c>
      <c r="O213">
        <f>IF(Datos!A213="","",IF(MAX(H$2:H$301)-MIN(H$2:H$301)&lt;0.000000001,0.5,(H213-MIN(H$2:H$301))/(MAX(H$2:H$301)-MIN(H$2:H$301)))+0.000000001)</f>
        <v/>
      </c>
      <c r="Q213">
        <f>IF(Datos!A213="","",(J213/SUM(J$2:J$301))*LN(J213/SUM(J$2:J$301)))</f>
        <v/>
      </c>
      <c r="R213">
        <f>IF(Datos!A213="","",(K213/SUM(K$2:K$301))*LN(K213/SUM(K$2:K$301)))</f>
        <v/>
      </c>
      <c r="S213">
        <f>IF(Datos!A213="","",(L213/SUM(L$2:L$301))*LN(L213/SUM(L$2:L$301)))</f>
        <v/>
      </c>
      <c r="T213">
        <f>IF(Datos!A213="","",(M213/SUM(M$2:M$301))*LN(M213/SUM(M$2:M$301)))</f>
        <v/>
      </c>
      <c r="U213">
        <f>IF(Datos!A213="","",(N213/SUM(N$2:N$301))*LN(N213/SUM(N$2:N$301)))</f>
        <v/>
      </c>
      <c r="V213">
        <f>IF(Datos!A213="","",(O213/SUM(O$2:O$301))*LN(O213/SUM(O$2:O$301)))</f>
        <v/>
      </c>
      <c r="X213">
        <f>IF(Datos!A213="","",IF(SUMSQ(C$2:C$301)=0,0,C213/SQRT(SUMSQ(C$2:C$301)))*$BE$2)</f>
        <v/>
      </c>
      <c r="Y213">
        <f>IF(Datos!A213="","",IF(SUMSQ(D$2:D$301)=0,0,D213/SQRT(SUMSQ(D$2:D$301)))*$BE$3)</f>
        <v/>
      </c>
      <c r="Z213">
        <f>IF(Datos!A213="","",IF(SUMSQ(E$2:E$301)=0,0,E213/SQRT(SUMSQ(E$2:E$301)))*$BE$4)</f>
        <v/>
      </c>
      <c r="AA213">
        <f>IF(Datos!A213="","",IF(SUMSQ(F$2:F$301)=0,0,F213/SQRT(SUMSQ(F$2:F$301)))*$BE$5)</f>
        <v/>
      </c>
      <c r="AB213">
        <f>IF(Datos!A213="","",IF(SUMSQ(G$2:G$301)=0,0,G213/SQRT(SUMSQ(G$2:G$301)))*$BE$6)</f>
        <v/>
      </c>
      <c r="AC213">
        <f>IF(Datos!A213="","",IF(SUMSQ(H$2:H$301)=0,0,H213/SQRT(SUMSQ(H$2:H$301)))*$BE$7)</f>
        <v/>
      </c>
      <c r="AE213">
        <f>IF(Datos!A213="","",SQRT(SUMXMY2(X213:AC213,$X$303:$AC$303)))</f>
        <v/>
      </c>
      <c r="AF213">
        <f>IF(Datos!A213="","",SQRT(SUMXMY2(X213:AC213,$X$304:$AC$304)))</f>
        <v/>
      </c>
      <c r="AG213" s="11">
        <f>IF(Datos!A213="","",IF(AE213+AF213&lt;0.000000001,0.5,AF213/(AE213+AF213)))</f>
        <v/>
      </c>
      <c r="AH213">
        <f>IF(Datos!A213="","",AG213*MAX(C213*D213,1))</f>
        <v/>
      </c>
      <c r="AI213">
        <f>IF(Datos!A213="","",SUMIF($AH$2:$AH$301,"&gt;="&amp;AH213,$AH$2:$AH$301)/SUM($AH$2:$AH$301))</f>
        <v/>
      </c>
      <c r="AJ213" s="12">
        <f>IF(Datos!A213="","",IF(AI213&lt;=Parametros!$B$13,"A",IF(AI213&lt;=Parametros!$B$14,"B","C")))</f>
        <v/>
      </c>
      <c r="AK213" s="13">
        <f>IF(Datos!A213="","",VLOOKUP(AJ213,Parametros!$A$8:$C$10,2,FALSE))</f>
        <v/>
      </c>
      <c r="AL213">
        <f>IF(Datos!A213="","",VLOOKUP(AJ213,Parametros!$A$8:$C$10,3,FALSE))</f>
        <v/>
      </c>
      <c r="AM213">
        <f>IF(Datos!A213="","",NORMSINV(AK213))</f>
        <v/>
      </c>
      <c r="AN213">
        <f>IF(Datos!A213="","",D213/Parametros!$B$4)</f>
        <v/>
      </c>
      <c r="AO213">
        <f>IF(Datos!A213="","",MAX(0,ROUNDUP(AM213*(AN213*Parametros!$B$3)*SQRT((AL213+E213)),0)))</f>
        <v/>
      </c>
      <c r="AP213">
        <f>IF(Datos!A213="","",MAX(1,ROUNDUP(AN213*(AL213+E213)+AM213*(AN213*Parametros!$B$3)*SQRT((AL213+E213)),0)))</f>
        <v/>
      </c>
      <c r="AQ213">
        <f>IF(Datos!A213="","",IF(Datos!J213="","",Datos!J213))</f>
        <v/>
      </c>
      <c r="AR213">
        <f>IF(OR(Datos!A213="",AQ213=""),"",MAX(0,AQ213-AP213))</f>
        <v/>
      </c>
      <c r="AS213" s="10">
        <f>IF(OR(Datos!A213="",AQ213=""),"",AR213*C213)</f>
        <v/>
      </c>
      <c r="AT213" s="12">
        <f>IF(OR(Datos!A213="",AQ213=""),"",IF(AQ213&lt;AO213,"SI",""))</f>
        <v/>
      </c>
      <c r="AU213">
        <f>IF(Datos!A213="","",IF(AT213="SI","Reponer ahora",IF(AND(AQ213&lt;&gt;"",AR213&gt;0),"Bajar "&amp;TEXT(AR213,"#,##0")&amp;" un.","En rango")))</f>
        <v/>
      </c>
    </row>
    <row r="214">
      <c r="A214">
        <f>IF(Datos!A214="","",Datos!A214)</f>
        <v/>
      </c>
      <c r="B214">
        <f>IF(Datos!A214="","",Datos!B214)</f>
        <v/>
      </c>
      <c r="C214">
        <f>IF(Datos!A214="","",IFERROR(MAX(0,N(Datos!D214)),0))</f>
        <v/>
      </c>
      <c r="D214">
        <f>IF(Datos!A214="","",IFERROR(MAX(0,N(Datos!E214)),0))</f>
        <v/>
      </c>
      <c r="E214">
        <f>IF(Datos!A214="","",IFERROR(MAX(0,N(Datos!F214)),0))</f>
        <v/>
      </c>
      <c r="F214">
        <f>IF(Datos!A214="","",IFERROR(MAX(0,N(Datos!G214)),0))</f>
        <v/>
      </c>
      <c r="G214">
        <f>IF(Datos!A214="","",IFERROR(MAX(0,N(Datos!H214)),0))</f>
        <v/>
      </c>
      <c r="H214">
        <f>IF(Datos!A214="","",IFERROR(MAX(0,N(Datos!I214)),0))</f>
        <v/>
      </c>
      <c r="J214">
        <f>IF(Datos!A214="","",IF(MAX(C$2:C$301)-MIN(C$2:C$301)&lt;0.000000001,0.5,(C214-MIN(C$2:C$301))/(MAX(C$2:C$301)-MIN(C$2:C$301)))+0.000000001)</f>
        <v/>
      </c>
      <c r="K214">
        <f>IF(Datos!A214="","",IF(MAX(D$2:D$301)-MIN(D$2:D$301)&lt;0.000000001,0.5,(D214-MIN(D$2:D$301))/(MAX(D$2:D$301)-MIN(D$2:D$301)))+0.000000001)</f>
        <v/>
      </c>
      <c r="L214">
        <f>IF(Datos!A214="","",IF(MAX(E$2:E$301)-MIN(E$2:E$301)&lt;0.000000001,0.5,(E214-MIN(E$2:E$301))/(MAX(E$2:E$301)-MIN(E$2:E$301)))+0.000000001)</f>
        <v/>
      </c>
      <c r="M214">
        <f>IF(Datos!A214="","",IF(MAX(F$2:F$301)-MIN(F$2:F$301)&lt;0.000000001,0.5,(F214-MIN(F$2:F$301))/(MAX(F$2:F$301)-MIN(F$2:F$301)))+0.000000001)</f>
        <v/>
      </c>
      <c r="N214">
        <f>IF(Datos!A214="","",IF(MAX(G$2:G$301)-MIN(G$2:G$301)&lt;0.000000001,0.5,(G214-MIN(G$2:G$301))/(MAX(G$2:G$301)-MIN(G$2:G$301)))+0.000000001)</f>
        <v/>
      </c>
      <c r="O214">
        <f>IF(Datos!A214="","",IF(MAX(H$2:H$301)-MIN(H$2:H$301)&lt;0.000000001,0.5,(H214-MIN(H$2:H$301))/(MAX(H$2:H$301)-MIN(H$2:H$301)))+0.000000001)</f>
        <v/>
      </c>
      <c r="Q214">
        <f>IF(Datos!A214="","",(J214/SUM(J$2:J$301))*LN(J214/SUM(J$2:J$301)))</f>
        <v/>
      </c>
      <c r="R214">
        <f>IF(Datos!A214="","",(K214/SUM(K$2:K$301))*LN(K214/SUM(K$2:K$301)))</f>
        <v/>
      </c>
      <c r="S214">
        <f>IF(Datos!A214="","",(L214/SUM(L$2:L$301))*LN(L214/SUM(L$2:L$301)))</f>
        <v/>
      </c>
      <c r="T214">
        <f>IF(Datos!A214="","",(M214/SUM(M$2:M$301))*LN(M214/SUM(M$2:M$301)))</f>
        <v/>
      </c>
      <c r="U214">
        <f>IF(Datos!A214="","",(N214/SUM(N$2:N$301))*LN(N214/SUM(N$2:N$301)))</f>
        <v/>
      </c>
      <c r="V214">
        <f>IF(Datos!A214="","",(O214/SUM(O$2:O$301))*LN(O214/SUM(O$2:O$301)))</f>
        <v/>
      </c>
      <c r="X214">
        <f>IF(Datos!A214="","",IF(SUMSQ(C$2:C$301)=0,0,C214/SQRT(SUMSQ(C$2:C$301)))*$BE$2)</f>
        <v/>
      </c>
      <c r="Y214">
        <f>IF(Datos!A214="","",IF(SUMSQ(D$2:D$301)=0,0,D214/SQRT(SUMSQ(D$2:D$301)))*$BE$3)</f>
        <v/>
      </c>
      <c r="Z214">
        <f>IF(Datos!A214="","",IF(SUMSQ(E$2:E$301)=0,0,E214/SQRT(SUMSQ(E$2:E$301)))*$BE$4)</f>
        <v/>
      </c>
      <c r="AA214">
        <f>IF(Datos!A214="","",IF(SUMSQ(F$2:F$301)=0,0,F214/SQRT(SUMSQ(F$2:F$301)))*$BE$5)</f>
        <v/>
      </c>
      <c r="AB214">
        <f>IF(Datos!A214="","",IF(SUMSQ(G$2:G$301)=0,0,G214/SQRT(SUMSQ(G$2:G$301)))*$BE$6)</f>
        <v/>
      </c>
      <c r="AC214">
        <f>IF(Datos!A214="","",IF(SUMSQ(H$2:H$301)=0,0,H214/SQRT(SUMSQ(H$2:H$301)))*$BE$7)</f>
        <v/>
      </c>
      <c r="AE214">
        <f>IF(Datos!A214="","",SQRT(SUMXMY2(X214:AC214,$X$303:$AC$303)))</f>
        <v/>
      </c>
      <c r="AF214">
        <f>IF(Datos!A214="","",SQRT(SUMXMY2(X214:AC214,$X$304:$AC$304)))</f>
        <v/>
      </c>
      <c r="AG214" s="11">
        <f>IF(Datos!A214="","",IF(AE214+AF214&lt;0.000000001,0.5,AF214/(AE214+AF214)))</f>
        <v/>
      </c>
      <c r="AH214">
        <f>IF(Datos!A214="","",AG214*MAX(C214*D214,1))</f>
        <v/>
      </c>
      <c r="AI214">
        <f>IF(Datos!A214="","",SUMIF($AH$2:$AH$301,"&gt;="&amp;AH214,$AH$2:$AH$301)/SUM($AH$2:$AH$301))</f>
        <v/>
      </c>
      <c r="AJ214" s="12">
        <f>IF(Datos!A214="","",IF(AI214&lt;=Parametros!$B$13,"A",IF(AI214&lt;=Parametros!$B$14,"B","C")))</f>
        <v/>
      </c>
      <c r="AK214" s="13">
        <f>IF(Datos!A214="","",VLOOKUP(AJ214,Parametros!$A$8:$C$10,2,FALSE))</f>
        <v/>
      </c>
      <c r="AL214">
        <f>IF(Datos!A214="","",VLOOKUP(AJ214,Parametros!$A$8:$C$10,3,FALSE))</f>
        <v/>
      </c>
      <c r="AM214">
        <f>IF(Datos!A214="","",NORMSINV(AK214))</f>
        <v/>
      </c>
      <c r="AN214">
        <f>IF(Datos!A214="","",D214/Parametros!$B$4)</f>
        <v/>
      </c>
      <c r="AO214">
        <f>IF(Datos!A214="","",MAX(0,ROUNDUP(AM214*(AN214*Parametros!$B$3)*SQRT((AL214+E214)),0)))</f>
        <v/>
      </c>
      <c r="AP214">
        <f>IF(Datos!A214="","",MAX(1,ROUNDUP(AN214*(AL214+E214)+AM214*(AN214*Parametros!$B$3)*SQRT((AL214+E214)),0)))</f>
        <v/>
      </c>
      <c r="AQ214">
        <f>IF(Datos!A214="","",IF(Datos!J214="","",Datos!J214))</f>
        <v/>
      </c>
      <c r="AR214">
        <f>IF(OR(Datos!A214="",AQ214=""),"",MAX(0,AQ214-AP214))</f>
        <v/>
      </c>
      <c r="AS214" s="10">
        <f>IF(OR(Datos!A214="",AQ214=""),"",AR214*C214)</f>
        <v/>
      </c>
      <c r="AT214" s="12">
        <f>IF(OR(Datos!A214="",AQ214=""),"",IF(AQ214&lt;AO214,"SI",""))</f>
        <v/>
      </c>
      <c r="AU214">
        <f>IF(Datos!A214="","",IF(AT214="SI","Reponer ahora",IF(AND(AQ214&lt;&gt;"",AR214&gt;0),"Bajar "&amp;TEXT(AR214,"#,##0")&amp;" un.","En rango")))</f>
        <v/>
      </c>
    </row>
    <row r="215">
      <c r="A215">
        <f>IF(Datos!A215="","",Datos!A215)</f>
        <v/>
      </c>
      <c r="B215">
        <f>IF(Datos!A215="","",Datos!B215)</f>
        <v/>
      </c>
      <c r="C215">
        <f>IF(Datos!A215="","",IFERROR(MAX(0,N(Datos!D215)),0))</f>
        <v/>
      </c>
      <c r="D215">
        <f>IF(Datos!A215="","",IFERROR(MAX(0,N(Datos!E215)),0))</f>
        <v/>
      </c>
      <c r="E215">
        <f>IF(Datos!A215="","",IFERROR(MAX(0,N(Datos!F215)),0))</f>
        <v/>
      </c>
      <c r="F215">
        <f>IF(Datos!A215="","",IFERROR(MAX(0,N(Datos!G215)),0))</f>
        <v/>
      </c>
      <c r="G215">
        <f>IF(Datos!A215="","",IFERROR(MAX(0,N(Datos!H215)),0))</f>
        <v/>
      </c>
      <c r="H215">
        <f>IF(Datos!A215="","",IFERROR(MAX(0,N(Datos!I215)),0))</f>
        <v/>
      </c>
      <c r="J215">
        <f>IF(Datos!A215="","",IF(MAX(C$2:C$301)-MIN(C$2:C$301)&lt;0.000000001,0.5,(C215-MIN(C$2:C$301))/(MAX(C$2:C$301)-MIN(C$2:C$301)))+0.000000001)</f>
        <v/>
      </c>
      <c r="K215">
        <f>IF(Datos!A215="","",IF(MAX(D$2:D$301)-MIN(D$2:D$301)&lt;0.000000001,0.5,(D215-MIN(D$2:D$301))/(MAX(D$2:D$301)-MIN(D$2:D$301)))+0.000000001)</f>
        <v/>
      </c>
      <c r="L215">
        <f>IF(Datos!A215="","",IF(MAX(E$2:E$301)-MIN(E$2:E$301)&lt;0.000000001,0.5,(E215-MIN(E$2:E$301))/(MAX(E$2:E$301)-MIN(E$2:E$301)))+0.000000001)</f>
        <v/>
      </c>
      <c r="M215">
        <f>IF(Datos!A215="","",IF(MAX(F$2:F$301)-MIN(F$2:F$301)&lt;0.000000001,0.5,(F215-MIN(F$2:F$301))/(MAX(F$2:F$301)-MIN(F$2:F$301)))+0.000000001)</f>
        <v/>
      </c>
      <c r="N215">
        <f>IF(Datos!A215="","",IF(MAX(G$2:G$301)-MIN(G$2:G$301)&lt;0.000000001,0.5,(G215-MIN(G$2:G$301))/(MAX(G$2:G$301)-MIN(G$2:G$301)))+0.000000001)</f>
        <v/>
      </c>
      <c r="O215">
        <f>IF(Datos!A215="","",IF(MAX(H$2:H$301)-MIN(H$2:H$301)&lt;0.000000001,0.5,(H215-MIN(H$2:H$301))/(MAX(H$2:H$301)-MIN(H$2:H$301)))+0.000000001)</f>
        <v/>
      </c>
      <c r="Q215">
        <f>IF(Datos!A215="","",(J215/SUM(J$2:J$301))*LN(J215/SUM(J$2:J$301)))</f>
        <v/>
      </c>
      <c r="R215">
        <f>IF(Datos!A215="","",(K215/SUM(K$2:K$301))*LN(K215/SUM(K$2:K$301)))</f>
        <v/>
      </c>
      <c r="S215">
        <f>IF(Datos!A215="","",(L215/SUM(L$2:L$301))*LN(L215/SUM(L$2:L$301)))</f>
        <v/>
      </c>
      <c r="T215">
        <f>IF(Datos!A215="","",(M215/SUM(M$2:M$301))*LN(M215/SUM(M$2:M$301)))</f>
        <v/>
      </c>
      <c r="U215">
        <f>IF(Datos!A215="","",(N215/SUM(N$2:N$301))*LN(N215/SUM(N$2:N$301)))</f>
        <v/>
      </c>
      <c r="V215">
        <f>IF(Datos!A215="","",(O215/SUM(O$2:O$301))*LN(O215/SUM(O$2:O$301)))</f>
        <v/>
      </c>
      <c r="X215">
        <f>IF(Datos!A215="","",IF(SUMSQ(C$2:C$301)=0,0,C215/SQRT(SUMSQ(C$2:C$301)))*$BE$2)</f>
        <v/>
      </c>
      <c r="Y215">
        <f>IF(Datos!A215="","",IF(SUMSQ(D$2:D$301)=0,0,D215/SQRT(SUMSQ(D$2:D$301)))*$BE$3)</f>
        <v/>
      </c>
      <c r="Z215">
        <f>IF(Datos!A215="","",IF(SUMSQ(E$2:E$301)=0,0,E215/SQRT(SUMSQ(E$2:E$301)))*$BE$4)</f>
        <v/>
      </c>
      <c r="AA215">
        <f>IF(Datos!A215="","",IF(SUMSQ(F$2:F$301)=0,0,F215/SQRT(SUMSQ(F$2:F$301)))*$BE$5)</f>
        <v/>
      </c>
      <c r="AB215">
        <f>IF(Datos!A215="","",IF(SUMSQ(G$2:G$301)=0,0,G215/SQRT(SUMSQ(G$2:G$301)))*$BE$6)</f>
        <v/>
      </c>
      <c r="AC215">
        <f>IF(Datos!A215="","",IF(SUMSQ(H$2:H$301)=0,0,H215/SQRT(SUMSQ(H$2:H$301)))*$BE$7)</f>
        <v/>
      </c>
      <c r="AE215">
        <f>IF(Datos!A215="","",SQRT(SUMXMY2(X215:AC215,$X$303:$AC$303)))</f>
        <v/>
      </c>
      <c r="AF215">
        <f>IF(Datos!A215="","",SQRT(SUMXMY2(X215:AC215,$X$304:$AC$304)))</f>
        <v/>
      </c>
      <c r="AG215" s="11">
        <f>IF(Datos!A215="","",IF(AE215+AF215&lt;0.000000001,0.5,AF215/(AE215+AF215)))</f>
        <v/>
      </c>
      <c r="AH215">
        <f>IF(Datos!A215="","",AG215*MAX(C215*D215,1))</f>
        <v/>
      </c>
      <c r="AI215">
        <f>IF(Datos!A215="","",SUMIF($AH$2:$AH$301,"&gt;="&amp;AH215,$AH$2:$AH$301)/SUM($AH$2:$AH$301))</f>
        <v/>
      </c>
      <c r="AJ215" s="12">
        <f>IF(Datos!A215="","",IF(AI215&lt;=Parametros!$B$13,"A",IF(AI215&lt;=Parametros!$B$14,"B","C")))</f>
        <v/>
      </c>
      <c r="AK215" s="13">
        <f>IF(Datos!A215="","",VLOOKUP(AJ215,Parametros!$A$8:$C$10,2,FALSE))</f>
        <v/>
      </c>
      <c r="AL215">
        <f>IF(Datos!A215="","",VLOOKUP(AJ215,Parametros!$A$8:$C$10,3,FALSE))</f>
        <v/>
      </c>
      <c r="AM215">
        <f>IF(Datos!A215="","",NORMSINV(AK215))</f>
        <v/>
      </c>
      <c r="AN215">
        <f>IF(Datos!A215="","",D215/Parametros!$B$4)</f>
        <v/>
      </c>
      <c r="AO215">
        <f>IF(Datos!A215="","",MAX(0,ROUNDUP(AM215*(AN215*Parametros!$B$3)*SQRT((AL215+E215)),0)))</f>
        <v/>
      </c>
      <c r="AP215">
        <f>IF(Datos!A215="","",MAX(1,ROUNDUP(AN215*(AL215+E215)+AM215*(AN215*Parametros!$B$3)*SQRT((AL215+E215)),0)))</f>
        <v/>
      </c>
      <c r="AQ215">
        <f>IF(Datos!A215="","",IF(Datos!J215="","",Datos!J215))</f>
        <v/>
      </c>
      <c r="AR215">
        <f>IF(OR(Datos!A215="",AQ215=""),"",MAX(0,AQ215-AP215))</f>
        <v/>
      </c>
      <c r="AS215" s="10">
        <f>IF(OR(Datos!A215="",AQ215=""),"",AR215*C215)</f>
        <v/>
      </c>
      <c r="AT215" s="12">
        <f>IF(OR(Datos!A215="",AQ215=""),"",IF(AQ215&lt;AO215,"SI",""))</f>
        <v/>
      </c>
      <c r="AU215">
        <f>IF(Datos!A215="","",IF(AT215="SI","Reponer ahora",IF(AND(AQ215&lt;&gt;"",AR215&gt;0),"Bajar "&amp;TEXT(AR215,"#,##0")&amp;" un.","En rango")))</f>
        <v/>
      </c>
    </row>
    <row r="216">
      <c r="A216">
        <f>IF(Datos!A216="","",Datos!A216)</f>
        <v/>
      </c>
      <c r="B216">
        <f>IF(Datos!A216="","",Datos!B216)</f>
        <v/>
      </c>
      <c r="C216">
        <f>IF(Datos!A216="","",IFERROR(MAX(0,N(Datos!D216)),0))</f>
        <v/>
      </c>
      <c r="D216">
        <f>IF(Datos!A216="","",IFERROR(MAX(0,N(Datos!E216)),0))</f>
        <v/>
      </c>
      <c r="E216">
        <f>IF(Datos!A216="","",IFERROR(MAX(0,N(Datos!F216)),0))</f>
        <v/>
      </c>
      <c r="F216">
        <f>IF(Datos!A216="","",IFERROR(MAX(0,N(Datos!G216)),0))</f>
        <v/>
      </c>
      <c r="G216">
        <f>IF(Datos!A216="","",IFERROR(MAX(0,N(Datos!H216)),0))</f>
        <v/>
      </c>
      <c r="H216">
        <f>IF(Datos!A216="","",IFERROR(MAX(0,N(Datos!I216)),0))</f>
        <v/>
      </c>
      <c r="J216">
        <f>IF(Datos!A216="","",IF(MAX(C$2:C$301)-MIN(C$2:C$301)&lt;0.000000001,0.5,(C216-MIN(C$2:C$301))/(MAX(C$2:C$301)-MIN(C$2:C$301)))+0.000000001)</f>
        <v/>
      </c>
      <c r="K216">
        <f>IF(Datos!A216="","",IF(MAX(D$2:D$301)-MIN(D$2:D$301)&lt;0.000000001,0.5,(D216-MIN(D$2:D$301))/(MAX(D$2:D$301)-MIN(D$2:D$301)))+0.000000001)</f>
        <v/>
      </c>
      <c r="L216">
        <f>IF(Datos!A216="","",IF(MAX(E$2:E$301)-MIN(E$2:E$301)&lt;0.000000001,0.5,(E216-MIN(E$2:E$301))/(MAX(E$2:E$301)-MIN(E$2:E$301)))+0.000000001)</f>
        <v/>
      </c>
      <c r="M216">
        <f>IF(Datos!A216="","",IF(MAX(F$2:F$301)-MIN(F$2:F$301)&lt;0.000000001,0.5,(F216-MIN(F$2:F$301))/(MAX(F$2:F$301)-MIN(F$2:F$301)))+0.000000001)</f>
        <v/>
      </c>
      <c r="N216">
        <f>IF(Datos!A216="","",IF(MAX(G$2:G$301)-MIN(G$2:G$301)&lt;0.000000001,0.5,(G216-MIN(G$2:G$301))/(MAX(G$2:G$301)-MIN(G$2:G$301)))+0.000000001)</f>
        <v/>
      </c>
      <c r="O216">
        <f>IF(Datos!A216="","",IF(MAX(H$2:H$301)-MIN(H$2:H$301)&lt;0.000000001,0.5,(H216-MIN(H$2:H$301))/(MAX(H$2:H$301)-MIN(H$2:H$301)))+0.000000001)</f>
        <v/>
      </c>
      <c r="Q216">
        <f>IF(Datos!A216="","",(J216/SUM(J$2:J$301))*LN(J216/SUM(J$2:J$301)))</f>
        <v/>
      </c>
      <c r="R216">
        <f>IF(Datos!A216="","",(K216/SUM(K$2:K$301))*LN(K216/SUM(K$2:K$301)))</f>
        <v/>
      </c>
      <c r="S216">
        <f>IF(Datos!A216="","",(L216/SUM(L$2:L$301))*LN(L216/SUM(L$2:L$301)))</f>
        <v/>
      </c>
      <c r="T216">
        <f>IF(Datos!A216="","",(M216/SUM(M$2:M$301))*LN(M216/SUM(M$2:M$301)))</f>
        <v/>
      </c>
      <c r="U216">
        <f>IF(Datos!A216="","",(N216/SUM(N$2:N$301))*LN(N216/SUM(N$2:N$301)))</f>
        <v/>
      </c>
      <c r="V216">
        <f>IF(Datos!A216="","",(O216/SUM(O$2:O$301))*LN(O216/SUM(O$2:O$301)))</f>
        <v/>
      </c>
      <c r="X216">
        <f>IF(Datos!A216="","",IF(SUMSQ(C$2:C$301)=0,0,C216/SQRT(SUMSQ(C$2:C$301)))*$BE$2)</f>
        <v/>
      </c>
      <c r="Y216">
        <f>IF(Datos!A216="","",IF(SUMSQ(D$2:D$301)=0,0,D216/SQRT(SUMSQ(D$2:D$301)))*$BE$3)</f>
        <v/>
      </c>
      <c r="Z216">
        <f>IF(Datos!A216="","",IF(SUMSQ(E$2:E$301)=0,0,E216/SQRT(SUMSQ(E$2:E$301)))*$BE$4)</f>
        <v/>
      </c>
      <c r="AA216">
        <f>IF(Datos!A216="","",IF(SUMSQ(F$2:F$301)=0,0,F216/SQRT(SUMSQ(F$2:F$301)))*$BE$5)</f>
        <v/>
      </c>
      <c r="AB216">
        <f>IF(Datos!A216="","",IF(SUMSQ(G$2:G$301)=0,0,G216/SQRT(SUMSQ(G$2:G$301)))*$BE$6)</f>
        <v/>
      </c>
      <c r="AC216">
        <f>IF(Datos!A216="","",IF(SUMSQ(H$2:H$301)=0,0,H216/SQRT(SUMSQ(H$2:H$301)))*$BE$7)</f>
        <v/>
      </c>
      <c r="AE216">
        <f>IF(Datos!A216="","",SQRT(SUMXMY2(X216:AC216,$X$303:$AC$303)))</f>
        <v/>
      </c>
      <c r="AF216">
        <f>IF(Datos!A216="","",SQRT(SUMXMY2(X216:AC216,$X$304:$AC$304)))</f>
        <v/>
      </c>
      <c r="AG216" s="11">
        <f>IF(Datos!A216="","",IF(AE216+AF216&lt;0.000000001,0.5,AF216/(AE216+AF216)))</f>
        <v/>
      </c>
      <c r="AH216">
        <f>IF(Datos!A216="","",AG216*MAX(C216*D216,1))</f>
        <v/>
      </c>
      <c r="AI216">
        <f>IF(Datos!A216="","",SUMIF($AH$2:$AH$301,"&gt;="&amp;AH216,$AH$2:$AH$301)/SUM($AH$2:$AH$301))</f>
        <v/>
      </c>
      <c r="AJ216" s="12">
        <f>IF(Datos!A216="","",IF(AI216&lt;=Parametros!$B$13,"A",IF(AI216&lt;=Parametros!$B$14,"B","C")))</f>
        <v/>
      </c>
      <c r="AK216" s="13">
        <f>IF(Datos!A216="","",VLOOKUP(AJ216,Parametros!$A$8:$C$10,2,FALSE))</f>
        <v/>
      </c>
      <c r="AL216">
        <f>IF(Datos!A216="","",VLOOKUP(AJ216,Parametros!$A$8:$C$10,3,FALSE))</f>
        <v/>
      </c>
      <c r="AM216">
        <f>IF(Datos!A216="","",NORMSINV(AK216))</f>
        <v/>
      </c>
      <c r="AN216">
        <f>IF(Datos!A216="","",D216/Parametros!$B$4)</f>
        <v/>
      </c>
      <c r="AO216">
        <f>IF(Datos!A216="","",MAX(0,ROUNDUP(AM216*(AN216*Parametros!$B$3)*SQRT((AL216+E216)),0)))</f>
        <v/>
      </c>
      <c r="AP216">
        <f>IF(Datos!A216="","",MAX(1,ROUNDUP(AN216*(AL216+E216)+AM216*(AN216*Parametros!$B$3)*SQRT((AL216+E216)),0)))</f>
        <v/>
      </c>
      <c r="AQ216">
        <f>IF(Datos!A216="","",IF(Datos!J216="","",Datos!J216))</f>
        <v/>
      </c>
      <c r="AR216">
        <f>IF(OR(Datos!A216="",AQ216=""),"",MAX(0,AQ216-AP216))</f>
        <v/>
      </c>
      <c r="AS216" s="10">
        <f>IF(OR(Datos!A216="",AQ216=""),"",AR216*C216)</f>
        <v/>
      </c>
      <c r="AT216" s="12">
        <f>IF(OR(Datos!A216="",AQ216=""),"",IF(AQ216&lt;AO216,"SI",""))</f>
        <v/>
      </c>
      <c r="AU216">
        <f>IF(Datos!A216="","",IF(AT216="SI","Reponer ahora",IF(AND(AQ216&lt;&gt;"",AR216&gt;0),"Bajar "&amp;TEXT(AR216,"#,##0")&amp;" un.","En rango")))</f>
        <v/>
      </c>
    </row>
    <row r="217">
      <c r="A217">
        <f>IF(Datos!A217="","",Datos!A217)</f>
        <v/>
      </c>
      <c r="B217">
        <f>IF(Datos!A217="","",Datos!B217)</f>
        <v/>
      </c>
      <c r="C217">
        <f>IF(Datos!A217="","",IFERROR(MAX(0,N(Datos!D217)),0))</f>
        <v/>
      </c>
      <c r="D217">
        <f>IF(Datos!A217="","",IFERROR(MAX(0,N(Datos!E217)),0))</f>
        <v/>
      </c>
      <c r="E217">
        <f>IF(Datos!A217="","",IFERROR(MAX(0,N(Datos!F217)),0))</f>
        <v/>
      </c>
      <c r="F217">
        <f>IF(Datos!A217="","",IFERROR(MAX(0,N(Datos!G217)),0))</f>
        <v/>
      </c>
      <c r="G217">
        <f>IF(Datos!A217="","",IFERROR(MAX(0,N(Datos!H217)),0))</f>
        <v/>
      </c>
      <c r="H217">
        <f>IF(Datos!A217="","",IFERROR(MAX(0,N(Datos!I217)),0))</f>
        <v/>
      </c>
      <c r="J217">
        <f>IF(Datos!A217="","",IF(MAX(C$2:C$301)-MIN(C$2:C$301)&lt;0.000000001,0.5,(C217-MIN(C$2:C$301))/(MAX(C$2:C$301)-MIN(C$2:C$301)))+0.000000001)</f>
        <v/>
      </c>
      <c r="K217">
        <f>IF(Datos!A217="","",IF(MAX(D$2:D$301)-MIN(D$2:D$301)&lt;0.000000001,0.5,(D217-MIN(D$2:D$301))/(MAX(D$2:D$301)-MIN(D$2:D$301)))+0.000000001)</f>
        <v/>
      </c>
      <c r="L217">
        <f>IF(Datos!A217="","",IF(MAX(E$2:E$301)-MIN(E$2:E$301)&lt;0.000000001,0.5,(E217-MIN(E$2:E$301))/(MAX(E$2:E$301)-MIN(E$2:E$301)))+0.000000001)</f>
        <v/>
      </c>
      <c r="M217">
        <f>IF(Datos!A217="","",IF(MAX(F$2:F$301)-MIN(F$2:F$301)&lt;0.000000001,0.5,(F217-MIN(F$2:F$301))/(MAX(F$2:F$301)-MIN(F$2:F$301)))+0.000000001)</f>
        <v/>
      </c>
      <c r="N217">
        <f>IF(Datos!A217="","",IF(MAX(G$2:G$301)-MIN(G$2:G$301)&lt;0.000000001,0.5,(G217-MIN(G$2:G$301))/(MAX(G$2:G$301)-MIN(G$2:G$301)))+0.000000001)</f>
        <v/>
      </c>
      <c r="O217">
        <f>IF(Datos!A217="","",IF(MAX(H$2:H$301)-MIN(H$2:H$301)&lt;0.000000001,0.5,(H217-MIN(H$2:H$301))/(MAX(H$2:H$301)-MIN(H$2:H$301)))+0.000000001)</f>
        <v/>
      </c>
      <c r="Q217">
        <f>IF(Datos!A217="","",(J217/SUM(J$2:J$301))*LN(J217/SUM(J$2:J$301)))</f>
        <v/>
      </c>
      <c r="R217">
        <f>IF(Datos!A217="","",(K217/SUM(K$2:K$301))*LN(K217/SUM(K$2:K$301)))</f>
        <v/>
      </c>
      <c r="S217">
        <f>IF(Datos!A217="","",(L217/SUM(L$2:L$301))*LN(L217/SUM(L$2:L$301)))</f>
        <v/>
      </c>
      <c r="T217">
        <f>IF(Datos!A217="","",(M217/SUM(M$2:M$301))*LN(M217/SUM(M$2:M$301)))</f>
        <v/>
      </c>
      <c r="U217">
        <f>IF(Datos!A217="","",(N217/SUM(N$2:N$301))*LN(N217/SUM(N$2:N$301)))</f>
        <v/>
      </c>
      <c r="V217">
        <f>IF(Datos!A217="","",(O217/SUM(O$2:O$301))*LN(O217/SUM(O$2:O$301)))</f>
        <v/>
      </c>
      <c r="X217">
        <f>IF(Datos!A217="","",IF(SUMSQ(C$2:C$301)=0,0,C217/SQRT(SUMSQ(C$2:C$301)))*$BE$2)</f>
        <v/>
      </c>
      <c r="Y217">
        <f>IF(Datos!A217="","",IF(SUMSQ(D$2:D$301)=0,0,D217/SQRT(SUMSQ(D$2:D$301)))*$BE$3)</f>
        <v/>
      </c>
      <c r="Z217">
        <f>IF(Datos!A217="","",IF(SUMSQ(E$2:E$301)=0,0,E217/SQRT(SUMSQ(E$2:E$301)))*$BE$4)</f>
        <v/>
      </c>
      <c r="AA217">
        <f>IF(Datos!A217="","",IF(SUMSQ(F$2:F$301)=0,0,F217/SQRT(SUMSQ(F$2:F$301)))*$BE$5)</f>
        <v/>
      </c>
      <c r="AB217">
        <f>IF(Datos!A217="","",IF(SUMSQ(G$2:G$301)=0,0,G217/SQRT(SUMSQ(G$2:G$301)))*$BE$6)</f>
        <v/>
      </c>
      <c r="AC217">
        <f>IF(Datos!A217="","",IF(SUMSQ(H$2:H$301)=0,0,H217/SQRT(SUMSQ(H$2:H$301)))*$BE$7)</f>
        <v/>
      </c>
      <c r="AE217">
        <f>IF(Datos!A217="","",SQRT(SUMXMY2(X217:AC217,$X$303:$AC$303)))</f>
        <v/>
      </c>
      <c r="AF217">
        <f>IF(Datos!A217="","",SQRT(SUMXMY2(X217:AC217,$X$304:$AC$304)))</f>
        <v/>
      </c>
      <c r="AG217" s="11">
        <f>IF(Datos!A217="","",IF(AE217+AF217&lt;0.000000001,0.5,AF217/(AE217+AF217)))</f>
        <v/>
      </c>
      <c r="AH217">
        <f>IF(Datos!A217="","",AG217*MAX(C217*D217,1))</f>
        <v/>
      </c>
      <c r="AI217">
        <f>IF(Datos!A217="","",SUMIF($AH$2:$AH$301,"&gt;="&amp;AH217,$AH$2:$AH$301)/SUM($AH$2:$AH$301))</f>
        <v/>
      </c>
      <c r="AJ217" s="12">
        <f>IF(Datos!A217="","",IF(AI217&lt;=Parametros!$B$13,"A",IF(AI217&lt;=Parametros!$B$14,"B","C")))</f>
        <v/>
      </c>
      <c r="AK217" s="13">
        <f>IF(Datos!A217="","",VLOOKUP(AJ217,Parametros!$A$8:$C$10,2,FALSE))</f>
        <v/>
      </c>
      <c r="AL217">
        <f>IF(Datos!A217="","",VLOOKUP(AJ217,Parametros!$A$8:$C$10,3,FALSE))</f>
        <v/>
      </c>
      <c r="AM217">
        <f>IF(Datos!A217="","",NORMSINV(AK217))</f>
        <v/>
      </c>
      <c r="AN217">
        <f>IF(Datos!A217="","",D217/Parametros!$B$4)</f>
        <v/>
      </c>
      <c r="AO217">
        <f>IF(Datos!A217="","",MAX(0,ROUNDUP(AM217*(AN217*Parametros!$B$3)*SQRT((AL217+E217)),0)))</f>
        <v/>
      </c>
      <c r="AP217">
        <f>IF(Datos!A217="","",MAX(1,ROUNDUP(AN217*(AL217+E217)+AM217*(AN217*Parametros!$B$3)*SQRT((AL217+E217)),0)))</f>
        <v/>
      </c>
      <c r="AQ217">
        <f>IF(Datos!A217="","",IF(Datos!J217="","",Datos!J217))</f>
        <v/>
      </c>
      <c r="AR217">
        <f>IF(OR(Datos!A217="",AQ217=""),"",MAX(0,AQ217-AP217))</f>
        <v/>
      </c>
      <c r="AS217" s="10">
        <f>IF(OR(Datos!A217="",AQ217=""),"",AR217*C217)</f>
        <v/>
      </c>
      <c r="AT217" s="12">
        <f>IF(OR(Datos!A217="",AQ217=""),"",IF(AQ217&lt;AO217,"SI",""))</f>
        <v/>
      </c>
      <c r="AU217">
        <f>IF(Datos!A217="","",IF(AT217="SI","Reponer ahora",IF(AND(AQ217&lt;&gt;"",AR217&gt;0),"Bajar "&amp;TEXT(AR217,"#,##0")&amp;" un.","En rango")))</f>
        <v/>
      </c>
    </row>
    <row r="218">
      <c r="A218">
        <f>IF(Datos!A218="","",Datos!A218)</f>
        <v/>
      </c>
      <c r="B218">
        <f>IF(Datos!A218="","",Datos!B218)</f>
        <v/>
      </c>
      <c r="C218">
        <f>IF(Datos!A218="","",IFERROR(MAX(0,N(Datos!D218)),0))</f>
        <v/>
      </c>
      <c r="D218">
        <f>IF(Datos!A218="","",IFERROR(MAX(0,N(Datos!E218)),0))</f>
        <v/>
      </c>
      <c r="E218">
        <f>IF(Datos!A218="","",IFERROR(MAX(0,N(Datos!F218)),0))</f>
        <v/>
      </c>
      <c r="F218">
        <f>IF(Datos!A218="","",IFERROR(MAX(0,N(Datos!G218)),0))</f>
        <v/>
      </c>
      <c r="G218">
        <f>IF(Datos!A218="","",IFERROR(MAX(0,N(Datos!H218)),0))</f>
        <v/>
      </c>
      <c r="H218">
        <f>IF(Datos!A218="","",IFERROR(MAX(0,N(Datos!I218)),0))</f>
        <v/>
      </c>
      <c r="J218">
        <f>IF(Datos!A218="","",IF(MAX(C$2:C$301)-MIN(C$2:C$301)&lt;0.000000001,0.5,(C218-MIN(C$2:C$301))/(MAX(C$2:C$301)-MIN(C$2:C$301)))+0.000000001)</f>
        <v/>
      </c>
      <c r="K218">
        <f>IF(Datos!A218="","",IF(MAX(D$2:D$301)-MIN(D$2:D$301)&lt;0.000000001,0.5,(D218-MIN(D$2:D$301))/(MAX(D$2:D$301)-MIN(D$2:D$301)))+0.000000001)</f>
        <v/>
      </c>
      <c r="L218">
        <f>IF(Datos!A218="","",IF(MAX(E$2:E$301)-MIN(E$2:E$301)&lt;0.000000001,0.5,(E218-MIN(E$2:E$301))/(MAX(E$2:E$301)-MIN(E$2:E$301)))+0.000000001)</f>
        <v/>
      </c>
      <c r="M218">
        <f>IF(Datos!A218="","",IF(MAX(F$2:F$301)-MIN(F$2:F$301)&lt;0.000000001,0.5,(F218-MIN(F$2:F$301))/(MAX(F$2:F$301)-MIN(F$2:F$301)))+0.000000001)</f>
        <v/>
      </c>
      <c r="N218">
        <f>IF(Datos!A218="","",IF(MAX(G$2:G$301)-MIN(G$2:G$301)&lt;0.000000001,0.5,(G218-MIN(G$2:G$301))/(MAX(G$2:G$301)-MIN(G$2:G$301)))+0.000000001)</f>
        <v/>
      </c>
      <c r="O218">
        <f>IF(Datos!A218="","",IF(MAX(H$2:H$301)-MIN(H$2:H$301)&lt;0.000000001,0.5,(H218-MIN(H$2:H$301))/(MAX(H$2:H$301)-MIN(H$2:H$301)))+0.000000001)</f>
        <v/>
      </c>
      <c r="Q218">
        <f>IF(Datos!A218="","",(J218/SUM(J$2:J$301))*LN(J218/SUM(J$2:J$301)))</f>
        <v/>
      </c>
      <c r="R218">
        <f>IF(Datos!A218="","",(K218/SUM(K$2:K$301))*LN(K218/SUM(K$2:K$301)))</f>
        <v/>
      </c>
      <c r="S218">
        <f>IF(Datos!A218="","",(L218/SUM(L$2:L$301))*LN(L218/SUM(L$2:L$301)))</f>
        <v/>
      </c>
      <c r="T218">
        <f>IF(Datos!A218="","",(M218/SUM(M$2:M$301))*LN(M218/SUM(M$2:M$301)))</f>
        <v/>
      </c>
      <c r="U218">
        <f>IF(Datos!A218="","",(N218/SUM(N$2:N$301))*LN(N218/SUM(N$2:N$301)))</f>
        <v/>
      </c>
      <c r="V218">
        <f>IF(Datos!A218="","",(O218/SUM(O$2:O$301))*LN(O218/SUM(O$2:O$301)))</f>
        <v/>
      </c>
      <c r="X218">
        <f>IF(Datos!A218="","",IF(SUMSQ(C$2:C$301)=0,0,C218/SQRT(SUMSQ(C$2:C$301)))*$BE$2)</f>
        <v/>
      </c>
      <c r="Y218">
        <f>IF(Datos!A218="","",IF(SUMSQ(D$2:D$301)=0,0,D218/SQRT(SUMSQ(D$2:D$301)))*$BE$3)</f>
        <v/>
      </c>
      <c r="Z218">
        <f>IF(Datos!A218="","",IF(SUMSQ(E$2:E$301)=0,0,E218/SQRT(SUMSQ(E$2:E$301)))*$BE$4)</f>
        <v/>
      </c>
      <c r="AA218">
        <f>IF(Datos!A218="","",IF(SUMSQ(F$2:F$301)=0,0,F218/SQRT(SUMSQ(F$2:F$301)))*$BE$5)</f>
        <v/>
      </c>
      <c r="AB218">
        <f>IF(Datos!A218="","",IF(SUMSQ(G$2:G$301)=0,0,G218/SQRT(SUMSQ(G$2:G$301)))*$BE$6)</f>
        <v/>
      </c>
      <c r="AC218">
        <f>IF(Datos!A218="","",IF(SUMSQ(H$2:H$301)=0,0,H218/SQRT(SUMSQ(H$2:H$301)))*$BE$7)</f>
        <v/>
      </c>
      <c r="AE218">
        <f>IF(Datos!A218="","",SQRT(SUMXMY2(X218:AC218,$X$303:$AC$303)))</f>
        <v/>
      </c>
      <c r="AF218">
        <f>IF(Datos!A218="","",SQRT(SUMXMY2(X218:AC218,$X$304:$AC$304)))</f>
        <v/>
      </c>
      <c r="AG218" s="11">
        <f>IF(Datos!A218="","",IF(AE218+AF218&lt;0.000000001,0.5,AF218/(AE218+AF218)))</f>
        <v/>
      </c>
      <c r="AH218">
        <f>IF(Datos!A218="","",AG218*MAX(C218*D218,1))</f>
        <v/>
      </c>
      <c r="AI218">
        <f>IF(Datos!A218="","",SUMIF($AH$2:$AH$301,"&gt;="&amp;AH218,$AH$2:$AH$301)/SUM($AH$2:$AH$301))</f>
        <v/>
      </c>
      <c r="AJ218" s="12">
        <f>IF(Datos!A218="","",IF(AI218&lt;=Parametros!$B$13,"A",IF(AI218&lt;=Parametros!$B$14,"B","C")))</f>
        <v/>
      </c>
      <c r="AK218" s="13">
        <f>IF(Datos!A218="","",VLOOKUP(AJ218,Parametros!$A$8:$C$10,2,FALSE))</f>
        <v/>
      </c>
      <c r="AL218">
        <f>IF(Datos!A218="","",VLOOKUP(AJ218,Parametros!$A$8:$C$10,3,FALSE))</f>
        <v/>
      </c>
      <c r="AM218">
        <f>IF(Datos!A218="","",NORMSINV(AK218))</f>
        <v/>
      </c>
      <c r="AN218">
        <f>IF(Datos!A218="","",D218/Parametros!$B$4)</f>
        <v/>
      </c>
      <c r="AO218">
        <f>IF(Datos!A218="","",MAX(0,ROUNDUP(AM218*(AN218*Parametros!$B$3)*SQRT((AL218+E218)),0)))</f>
        <v/>
      </c>
      <c r="AP218">
        <f>IF(Datos!A218="","",MAX(1,ROUNDUP(AN218*(AL218+E218)+AM218*(AN218*Parametros!$B$3)*SQRT((AL218+E218)),0)))</f>
        <v/>
      </c>
      <c r="AQ218">
        <f>IF(Datos!A218="","",IF(Datos!J218="","",Datos!J218))</f>
        <v/>
      </c>
      <c r="AR218">
        <f>IF(OR(Datos!A218="",AQ218=""),"",MAX(0,AQ218-AP218))</f>
        <v/>
      </c>
      <c r="AS218" s="10">
        <f>IF(OR(Datos!A218="",AQ218=""),"",AR218*C218)</f>
        <v/>
      </c>
      <c r="AT218" s="12">
        <f>IF(OR(Datos!A218="",AQ218=""),"",IF(AQ218&lt;AO218,"SI",""))</f>
        <v/>
      </c>
      <c r="AU218">
        <f>IF(Datos!A218="","",IF(AT218="SI","Reponer ahora",IF(AND(AQ218&lt;&gt;"",AR218&gt;0),"Bajar "&amp;TEXT(AR218,"#,##0")&amp;" un.","En rango")))</f>
        <v/>
      </c>
    </row>
    <row r="219">
      <c r="A219">
        <f>IF(Datos!A219="","",Datos!A219)</f>
        <v/>
      </c>
      <c r="B219">
        <f>IF(Datos!A219="","",Datos!B219)</f>
        <v/>
      </c>
      <c r="C219">
        <f>IF(Datos!A219="","",IFERROR(MAX(0,N(Datos!D219)),0))</f>
        <v/>
      </c>
      <c r="D219">
        <f>IF(Datos!A219="","",IFERROR(MAX(0,N(Datos!E219)),0))</f>
        <v/>
      </c>
      <c r="E219">
        <f>IF(Datos!A219="","",IFERROR(MAX(0,N(Datos!F219)),0))</f>
        <v/>
      </c>
      <c r="F219">
        <f>IF(Datos!A219="","",IFERROR(MAX(0,N(Datos!G219)),0))</f>
        <v/>
      </c>
      <c r="G219">
        <f>IF(Datos!A219="","",IFERROR(MAX(0,N(Datos!H219)),0))</f>
        <v/>
      </c>
      <c r="H219">
        <f>IF(Datos!A219="","",IFERROR(MAX(0,N(Datos!I219)),0))</f>
        <v/>
      </c>
      <c r="J219">
        <f>IF(Datos!A219="","",IF(MAX(C$2:C$301)-MIN(C$2:C$301)&lt;0.000000001,0.5,(C219-MIN(C$2:C$301))/(MAX(C$2:C$301)-MIN(C$2:C$301)))+0.000000001)</f>
        <v/>
      </c>
      <c r="K219">
        <f>IF(Datos!A219="","",IF(MAX(D$2:D$301)-MIN(D$2:D$301)&lt;0.000000001,0.5,(D219-MIN(D$2:D$301))/(MAX(D$2:D$301)-MIN(D$2:D$301)))+0.000000001)</f>
        <v/>
      </c>
      <c r="L219">
        <f>IF(Datos!A219="","",IF(MAX(E$2:E$301)-MIN(E$2:E$301)&lt;0.000000001,0.5,(E219-MIN(E$2:E$301))/(MAX(E$2:E$301)-MIN(E$2:E$301)))+0.000000001)</f>
        <v/>
      </c>
      <c r="M219">
        <f>IF(Datos!A219="","",IF(MAX(F$2:F$301)-MIN(F$2:F$301)&lt;0.000000001,0.5,(F219-MIN(F$2:F$301))/(MAX(F$2:F$301)-MIN(F$2:F$301)))+0.000000001)</f>
        <v/>
      </c>
      <c r="N219">
        <f>IF(Datos!A219="","",IF(MAX(G$2:G$301)-MIN(G$2:G$301)&lt;0.000000001,0.5,(G219-MIN(G$2:G$301))/(MAX(G$2:G$301)-MIN(G$2:G$301)))+0.000000001)</f>
        <v/>
      </c>
      <c r="O219">
        <f>IF(Datos!A219="","",IF(MAX(H$2:H$301)-MIN(H$2:H$301)&lt;0.000000001,0.5,(H219-MIN(H$2:H$301))/(MAX(H$2:H$301)-MIN(H$2:H$301)))+0.000000001)</f>
        <v/>
      </c>
      <c r="Q219">
        <f>IF(Datos!A219="","",(J219/SUM(J$2:J$301))*LN(J219/SUM(J$2:J$301)))</f>
        <v/>
      </c>
      <c r="R219">
        <f>IF(Datos!A219="","",(K219/SUM(K$2:K$301))*LN(K219/SUM(K$2:K$301)))</f>
        <v/>
      </c>
      <c r="S219">
        <f>IF(Datos!A219="","",(L219/SUM(L$2:L$301))*LN(L219/SUM(L$2:L$301)))</f>
        <v/>
      </c>
      <c r="T219">
        <f>IF(Datos!A219="","",(M219/SUM(M$2:M$301))*LN(M219/SUM(M$2:M$301)))</f>
        <v/>
      </c>
      <c r="U219">
        <f>IF(Datos!A219="","",(N219/SUM(N$2:N$301))*LN(N219/SUM(N$2:N$301)))</f>
        <v/>
      </c>
      <c r="V219">
        <f>IF(Datos!A219="","",(O219/SUM(O$2:O$301))*LN(O219/SUM(O$2:O$301)))</f>
        <v/>
      </c>
      <c r="X219">
        <f>IF(Datos!A219="","",IF(SUMSQ(C$2:C$301)=0,0,C219/SQRT(SUMSQ(C$2:C$301)))*$BE$2)</f>
        <v/>
      </c>
      <c r="Y219">
        <f>IF(Datos!A219="","",IF(SUMSQ(D$2:D$301)=0,0,D219/SQRT(SUMSQ(D$2:D$301)))*$BE$3)</f>
        <v/>
      </c>
      <c r="Z219">
        <f>IF(Datos!A219="","",IF(SUMSQ(E$2:E$301)=0,0,E219/SQRT(SUMSQ(E$2:E$301)))*$BE$4)</f>
        <v/>
      </c>
      <c r="AA219">
        <f>IF(Datos!A219="","",IF(SUMSQ(F$2:F$301)=0,0,F219/SQRT(SUMSQ(F$2:F$301)))*$BE$5)</f>
        <v/>
      </c>
      <c r="AB219">
        <f>IF(Datos!A219="","",IF(SUMSQ(G$2:G$301)=0,0,G219/SQRT(SUMSQ(G$2:G$301)))*$BE$6)</f>
        <v/>
      </c>
      <c r="AC219">
        <f>IF(Datos!A219="","",IF(SUMSQ(H$2:H$301)=0,0,H219/SQRT(SUMSQ(H$2:H$301)))*$BE$7)</f>
        <v/>
      </c>
      <c r="AE219">
        <f>IF(Datos!A219="","",SQRT(SUMXMY2(X219:AC219,$X$303:$AC$303)))</f>
        <v/>
      </c>
      <c r="AF219">
        <f>IF(Datos!A219="","",SQRT(SUMXMY2(X219:AC219,$X$304:$AC$304)))</f>
        <v/>
      </c>
      <c r="AG219" s="11">
        <f>IF(Datos!A219="","",IF(AE219+AF219&lt;0.000000001,0.5,AF219/(AE219+AF219)))</f>
        <v/>
      </c>
      <c r="AH219">
        <f>IF(Datos!A219="","",AG219*MAX(C219*D219,1))</f>
        <v/>
      </c>
      <c r="AI219">
        <f>IF(Datos!A219="","",SUMIF($AH$2:$AH$301,"&gt;="&amp;AH219,$AH$2:$AH$301)/SUM($AH$2:$AH$301))</f>
        <v/>
      </c>
      <c r="AJ219" s="12">
        <f>IF(Datos!A219="","",IF(AI219&lt;=Parametros!$B$13,"A",IF(AI219&lt;=Parametros!$B$14,"B","C")))</f>
        <v/>
      </c>
      <c r="AK219" s="13">
        <f>IF(Datos!A219="","",VLOOKUP(AJ219,Parametros!$A$8:$C$10,2,FALSE))</f>
        <v/>
      </c>
      <c r="AL219">
        <f>IF(Datos!A219="","",VLOOKUP(AJ219,Parametros!$A$8:$C$10,3,FALSE))</f>
        <v/>
      </c>
      <c r="AM219">
        <f>IF(Datos!A219="","",NORMSINV(AK219))</f>
        <v/>
      </c>
      <c r="AN219">
        <f>IF(Datos!A219="","",D219/Parametros!$B$4)</f>
        <v/>
      </c>
      <c r="AO219">
        <f>IF(Datos!A219="","",MAX(0,ROUNDUP(AM219*(AN219*Parametros!$B$3)*SQRT((AL219+E219)),0)))</f>
        <v/>
      </c>
      <c r="AP219">
        <f>IF(Datos!A219="","",MAX(1,ROUNDUP(AN219*(AL219+E219)+AM219*(AN219*Parametros!$B$3)*SQRT((AL219+E219)),0)))</f>
        <v/>
      </c>
      <c r="AQ219">
        <f>IF(Datos!A219="","",IF(Datos!J219="","",Datos!J219))</f>
        <v/>
      </c>
      <c r="AR219">
        <f>IF(OR(Datos!A219="",AQ219=""),"",MAX(0,AQ219-AP219))</f>
        <v/>
      </c>
      <c r="AS219" s="10">
        <f>IF(OR(Datos!A219="",AQ219=""),"",AR219*C219)</f>
        <v/>
      </c>
      <c r="AT219" s="12">
        <f>IF(OR(Datos!A219="",AQ219=""),"",IF(AQ219&lt;AO219,"SI",""))</f>
        <v/>
      </c>
      <c r="AU219">
        <f>IF(Datos!A219="","",IF(AT219="SI","Reponer ahora",IF(AND(AQ219&lt;&gt;"",AR219&gt;0),"Bajar "&amp;TEXT(AR219,"#,##0")&amp;" un.","En rango")))</f>
        <v/>
      </c>
    </row>
    <row r="220">
      <c r="A220">
        <f>IF(Datos!A220="","",Datos!A220)</f>
        <v/>
      </c>
      <c r="B220">
        <f>IF(Datos!A220="","",Datos!B220)</f>
        <v/>
      </c>
      <c r="C220">
        <f>IF(Datos!A220="","",IFERROR(MAX(0,N(Datos!D220)),0))</f>
        <v/>
      </c>
      <c r="D220">
        <f>IF(Datos!A220="","",IFERROR(MAX(0,N(Datos!E220)),0))</f>
        <v/>
      </c>
      <c r="E220">
        <f>IF(Datos!A220="","",IFERROR(MAX(0,N(Datos!F220)),0))</f>
        <v/>
      </c>
      <c r="F220">
        <f>IF(Datos!A220="","",IFERROR(MAX(0,N(Datos!G220)),0))</f>
        <v/>
      </c>
      <c r="G220">
        <f>IF(Datos!A220="","",IFERROR(MAX(0,N(Datos!H220)),0))</f>
        <v/>
      </c>
      <c r="H220">
        <f>IF(Datos!A220="","",IFERROR(MAX(0,N(Datos!I220)),0))</f>
        <v/>
      </c>
      <c r="J220">
        <f>IF(Datos!A220="","",IF(MAX(C$2:C$301)-MIN(C$2:C$301)&lt;0.000000001,0.5,(C220-MIN(C$2:C$301))/(MAX(C$2:C$301)-MIN(C$2:C$301)))+0.000000001)</f>
        <v/>
      </c>
      <c r="K220">
        <f>IF(Datos!A220="","",IF(MAX(D$2:D$301)-MIN(D$2:D$301)&lt;0.000000001,0.5,(D220-MIN(D$2:D$301))/(MAX(D$2:D$301)-MIN(D$2:D$301)))+0.000000001)</f>
        <v/>
      </c>
      <c r="L220">
        <f>IF(Datos!A220="","",IF(MAX(E$2:E$301)-MIN(E$2:E$301)&lt;0.000000001,0.5,(E220-MIN(E$2:E$301))/(MAX(E$2:E$301)-MIN(E$2:E$301)))+0.000000001)</f>
        <v/>
      </c>
      <c r="M220">
        <f>IF(Datos!A220="","",IF(MAX(F$2:F$301)-MIN(F$2:F$301)&lt;0.000000001,0.5,(F220-MIN(F$2:F$301))/(MAX(F$2:F$301)-MIN(F$2:F$301)))+0.000000001)</f>
        <v/>
      </c>
      <c r="N220">
        <f>IF(Datos!A220="","",IF(MAX(G$2:G$301)-MIN(G$2:G$301)&lt;0.000000001,0.5,(G220-MIN(G$2:G$301))/(MAX(G$2:G$301)-MIN(G$2:G$301)))+0.000000001)</f>
        <v/>
      </c>
      <c r="O220">
        <f>IF(Datos!A220="","",IF(MAX(H$2:H$301)-MIN(H$2:H$301)&lt;0.000000001,0.5,(H220-MIN(H$2:H$301))/(MAX(H$2:H$301)-MIN(H$2:H$301)))+0.000000001)</f>
        <v/>
      </c>
      <c r="Q220">
        <f>IF(Datos!A220="","",(J220/SUM(J$2:J$301))*LN(J220/SUM(J$2:J$301)))</f>
        <v/>
      </c>
      <c r="R220">
        <f>IF(Datos!A220="","",(K220/SUM(K$2:K$301))*LN(K220/SUM(K$2:K$301)))</f>
        <v/>
      </c>
      <c r="S220">
        <f>IF(Datos!A220="","",(L220/SUM(L$2:L$301))*LN(L220/SUM(L$2:L$301)))</f>
        <v/>
      </c>
      <c r="T220">
        <f>IF(Datos!A220="","",(M220/SUM(M$2:M$301))*LN(M220/SUM(M$2:M$301)))</f>
        <v/>
      </c>
      <c r="U220">
        <f>IF(Datos!A220="","",(N220/SUM(N$2:N$301))*LN(N220/SUM(N$2:N$301)))</f>
        <v/>
      </c>
      <c r="V220">
        <f>IF(Datos!A220="","",(O220/SUM(O$2:O$301))*LN(O220/SUM(O$2:O$301)))</f>
        <v/>
      </c>
      <c r="X220">
        <f>IF(Datos!A220="","",IF(SUMSQ(C$2:C$301)=0,0,C220/SQRT(SUMSQ(C$2:C$301)))*$BE$2)</f>
        <v/>
      </c>
      <c r="Y220">
        <f>IF(Datos!A220="","",IF(SUMSQ(D$2:D$301)=0,0,D220/SQRT(SUMSQ(D$2:D$301)))*$BE$3)</f>
        <v/>
      </c>
      <c r="Z220">
        <f>IF(Datos!A220="","",IF(SUMSQ(E$2:E$301)=0,0,E220/SQRT(SUMSQ(E$2:E$301)))*$BE$4)</f>
        <v/>
      </c>
      <c r="AA220">
        <f>IF(Datos!A220="","",IF(SUMSQ(F$2:F$301)=0,0,F220/SQRT(SUMSQ(F$2:F$301)))*$BE$5)</f>
        <v/>
      </c>
      <c r="AB220">
        <f>IF(Datos!A220="","",IF(SUMSQ(G$2:G$301)=0,0,G220/SQRT(SUMSQ(G$2:G$301)))*$BE$6)</f>
        <v/>
      </c>
      <c r="AC220">
        <f>IF(Datos!A220="","",IF(SUMSQ(H$2:H$301)=0,0,H220/SQRT(SUMSQ(H$2:H$301)))*$BE$7)</f>
        <v/>
      </c>
      <c r="AE220">
        <f>IF(Datos!A220="","",SQRT(SUMXMY2(X220:AC220,$X$303:$AC$303)))</f>
        <v/>
      </c>
      <c r="AF220">
        <f>IF(Datos!A220="","",SQRT(SUMXMY2(X220:AC220,$X$304:$AC$304)))</f>
        <v/>
      </c>
      <c r="AG220" s="11">
        <f>IF(Datos!A220="","",IF(AE220+AF220&lt;0.000000001,0.5,AF220/(AE220+AF220)))</f>
        <v/>
      </c>
      <c r="AH220">
        <f>IF(Datos!A220="","",AG220*MAX(C220*D220,1))</f>
        <v/>
      </c>
      <c r="AI220">
        <f>IF(Datos!A220="","",SUMIF($AH$2:$AH$301,"&gt;="&amp;AH220,$AH$2:$AH$301)/SUM($AH$2:$AH$301))</f>
        <v/>
      </c>
      <c r="AJ220" s="12">
        <f>IF(Datos!A220="","",IF(AI220&lt;=Parametros!$B$13,"A",IF(AI220&lt;=Parametros!$B$14,"B","C")))</f>
        <v/>
      </c>
      <c r="AK220" s="13">
        <f>IF(Datos!A220="","",VLOOKUP(AJ220,Parametros!$A$8:$C$10,2,FALSE))</f>
        <v/>
      </c>
      <c r="AL220">
        <f>IF(Datos!A220="","",VLOOKUP(AJ220,Parametros!$A$8:$C$10,3,FALSE))</f>
        <v/>
      </c>
      <c r="AM220">
        <f>IF(Datos!A220="","",NORMSINV(AK220))</f>
        <v/>
      </c>
      <c r="AN220">
        <f>IF(Datos!A220="","",D220/Parametros!$B$4)</f>
        <v/>
      </c>
      <c r="AO220">
        <f>IF(Datos!A220="","",MAX(0,ROUNDUP(AM220*(AN220*Parametros!$B$3)*SQRT((AL220+E220)),0)))</f>
        <v/>
      </c>
      <c r="AP220">
        <f>IF(Datos!A220="","",MAX(1,ROUNDUP(AN220*(AL220+E220)+AM220*(AN220*Parametros!$B$3)*SQRT((AL220+E220)),0)))</f>
        <v/>
      </c>
      <c r="AQ220">
        <f>IF(Datos!A220="","",IF(Datos!J220="","",Datos!J220))</f>
        <v/>
      </c>
      <c r="AR220">
        <f>IF(OR(Datos!A220="",AQ220=""),"",MAX(0,AQ220-AP220))</f>
        <v/>
      </c>
      <c r="AS220" s="10">
        <f>IF(OR(Datos!A220="",AQ220=""),"",AR220*C220)</f>
        <v/>
      </c>
      <c r="AT220" s="12">
        <f>IF(OR(Datos!A220="",AQ220=""),"",IF(AQ220&lt;AO220,"SI",""))</f>
        <v/>
      </c>
      <c r="AU220">
        <f>IF(Datos!A220="","",IF(AT220="SI","Reponer ahora",IF(AND(AQ220&lt;&gt;"",AR220&gt;0),"Bajar "&amp;TEXT(AR220,"#,##0")&amp;" un.","En rango")))</f>
        <v/>
      </c>
    </row>
    <row r="221">
      <c r="A221">
        <f>IF(Datos!A221="","",Datos!A221)</f>
        <v/>
      </c>
      <c r="B221">
        <f>IF(Datos!A221="","",Datos!B221)</f>
        <v/>
      </c>
      <c r="C221">
        <f>IF(Datos!A221="","",IFERROR(MAX(0,N(Datos!D221)),0))</f>
        <v/>
      </c>
      <c r="D221">
        <f>IF(Datos!A221="","",IFERROR(MAX(0,N(Datos!E221)),0))</f>
        <v/>
      </c>
      <c r="E221">
        <f>IF(Datos!A221="","",IFERROR(MAX(0,N(Datos!F221)),0))</f>
        <v/>
      </c>
      <c r="F221">
        <f>IF(Datos!A221="","",IFERROR(MAX(0,N(Datos!G221)),0))</f>
        <v/>
      </c>
      <c r="G221">
        <f>IF(Datos!A221="","",IFERROR(MAX(0,N(Datos!H221)),0))</f>
        <v/>
      </c>
      <c r="H221">
        <f>IF(Datos!A221="","",IFERROR(MAX(0,N(Datos!I221)),0))</f>
        <v/>
      </c>
      <c r="J221">
        <f>IF(Datos!A221="","",IF(MAX(C$2:C$301)-MIN(C$2:C$301)&lt;0.000000001,0.5,(C221-MIN(C$2:C$301))/(MAX(C$2:C$301)-MIN(C$2:C$301)))+0.000000001)</f>
        <v/>
      </c>
      <c r="K221">
        <f>IF(Datos!A221="","",IF(MAX(D$2:D$301)-MIN(D$2:D$301)&lt;0.000000001,0.5,(D221-MIN(D$2:D$301))/(MAX(D$2:D$301)-MIN(D$2:D$301)))+0.000000001)</f>
        <v/>
      </c>
      <c r="L221">
        <f>IF(Datos!A221="","",IF(MAX(E$2:E$301)-MIN(E$2:E$301)&lt;0.000000001,0.5,(E221-MIN(E$2:E$301))/(MAX(E$2:E$301)-MIN(E$2:E$301)))+0.000000001)</f>
        <v/>
      </c>
      <c r="M221">
        <f>IF(Datos!A221="","",IF(MAX(F$2:F$301)-MIN(F$2:F$301)&lt;0.000000001,0.5,(F221-MIN(F$2:F$301))/(MAX(F$2:F$301)-MIN(F$2:F$301)))+0.000000001)</f>
        <v/>
      </c>
      <c r="N221">
        <f>IF(Datos!A221="","",IF(MAX(G$2:G$301)-MIN(G$2:G$301)&lt;0.000000001,0.5,(G221-MIN(G$2:G$301))/(MAX(G$2:G$301)-MIN(G$2:G$301)))+0.000000001)</f>
        <v/>
      </c>
      <c r="O221">
        <f>IF(Datos!A221="","",IF(MAX(H$2:H$301)-MIN(H$2:H$301)&lt;0.000000001,0.5,(H221-MIN(H$2:H$301))/(MAX(H$2:H$301)-MIN(H$2:H$301)))+0.000000001)</f>
        <v/>
      </c>
      <c r="Q221">
        <f>IF(Datos!A221="","",(J221/SUM(J$2:J$301))*LN(J221/SUM(J$2:J$301)))</f>
        <v/>
      </c>
      <c r="R221">
        <f>IF(Datos!A221="","",(K221/SUM(K$2:K$301))*LN(K221/SUM(K$2:K$301)))</f>
        <v/>
      </c>
      <c r="S221">
        <f>IF(Datos!A221="","",(L221/SUM(L$2:L$301))*LN(L221/SUM(L$2:L$301)))</f>
        <v/>
      </c>
      <c r="T221">
        <f>IF(Datos!A221="","",(M221/SUM(M$2:M$301))*LN(M221/SUM(M$2:M$301)))</f>
        <v/>
      </c>
      <c r="U221">
        <f>IF(Datos!A221="","",(N221/SUM(N$2:N$301))*LN(N221/SUM(N$2:N$301)))</f>
        <v/>
      </c>
      <c r="V221">
        <f>IF(Datos!A221="","",(O221/SUM(O$2:O$301))*LN(O221/SUM(O$2:O$301)))</f>
        <v/>
      </c>
      <c r="X221">
        <f>IF(Datos!A221="","",IF(SUMSQ(C$2:C$301)=0,0,C221/SQRT(SUMSQ(C$2:C$301)))*$BE$2)</f>
        <v/>
      </c>
      <c r="Y221">
        <f>IF(Datos!A221="","",IF(SUMSQ(D$2:D$301)=0,0,D221/SQRT(SUMSQ(D$2:D$301)))*$BE$3)</f>
        <v/>
      </c>
      <c r="Z221">
        <f>IF(Datos!A221="","",IF(SUMSQ(E$2:E$301)=0,0,E221/SQRT(SUMSQ(E$2:E$301)))*$BE$4)</f>
        <v/>
      </c>
      <c r="AA221">
        <f>IF(Datos!A221="","",IF(SUMSQ(F$2:F$301)=0,0,F221/SQRT(SUMSQ(F$2:F$301)))*$BE$5)</f>
        <v/>
      </c>
      <c r="AB221">
        <f>IF(Datos!A221="","",IF(SUMSQ(G$2:G$301)=0,0,G221/SQRT(SUMSQ(G$2:G$301)))*$BE$6)</f>
        <v/>
      </c>
      <c r="AC221">
        <f>IF(Datos!A221="","",IF(SUMSQ(H$2:H$301)=0,0,H221/SQRT(SUMSQ(H$2:H$301)))*$BE$7)</f>
        <v/>
      </c>
      <c r="AE221">
        <f>IF(Datos!A221="","",SQRT(SUMXMY2(X221:AC221,$X$303:$AC$303)))</f>
        <v/>
      </c>
      <c r="AF221">
        <f>IF(Datos!A221="","",SQRT(SUMXMY2(X221:AC221,$X$304:$AC$304)))</f>
        <v/>
      </c>
      <c r="AG221" s="11">
        <f>IF(Datos!A221="","",IF(AE221+AF221&lt;0.000000001,0.5,AF221/(AE221+AF221)))</f>
        <v/>
      </c>
      <c r="AH221">
        <f>IF(Datos!A221="","",AG221*MAX(C221*D221,1))</f>
        <v/>
      </c>
      <c r="AI221">
        <f>IF(Datos!A221="","",SUMIF($AH$2:$AH$301,"&gt;="&amp;AH221,$AH$2:$AH$301)/SUM($AH$2:$AH$301))</f>
        <v/>
      </c>
      <c r="AJ221" s="12">
        <f>IF(Datos!A221="","",IF(AI221&lt;=Parametros!$B$13,"A",IF(AI221&lt;=Parametros!$B$14,"B","C")))</f>
        <v/>
      </c>
      <c r="AK221" s="13">
        <f>IF(Datos!A221="","",VLOOKUP(AJ221,Parametros!$A$8:$C$10,2,FALSE))</f>
        <v/>
      </c>
      <c r="AL221">
        <f>IF(Datos!A221="","",VLOOKUP(AJ221,Parametros!$A$8:$C$10,3,FALSE))</f>
        <v/>
      </c>
      <c r="AM221">
        <f>IF(Datos!A221="","",NORMSINV(AK221))</f>
        <v/>
      </c>
      <c r="AN221">
        <f>IF(Datos!A221="","",D221/Parametros!$B$4)</f>
        <v/>
      </c>
      <c r="AO221">
        <f>IF(Datos!A221="","",MAX(0,ROUNDUP(AM221*(AN221*Parametros!$B$3)*SQRT((AL221+E221)),0)))</f>
        <v/>
      </c>
      <c r="AP221">
        <f>IF(Datos!A221="","",MAX(1,ROUNDUP(AN221*(AL221+E221)+AM221*(AN221*Parametros!$B$3)*SQRT((AL221+E221)),0)))</f>
        <v/>
      </c>
      <c r="AQ221">
        <f>IF(Datos!A221="","",IF(Datos!J221="","",Datos!J221))</f>
        <v/>
      </c>
      <c r="AR221">
        <f>IF(OR(Datos!A221="",AQ221=""),"",MAX(0,AQ221-AP221))</f>
        <v/>
      </c>
      <c r="AS221" s="10">
        <f>IF(OR(Datos!A221="",AQ221=""),"",AR221*C221)</f>
        <v/>
      </c>
      <c r="AT221" s="12">
        <f>IF(OR(Datos!A221="",AQ221=""),"",IF(AQ221&lt;AO221,"SI",""))</f>
        <v/>
      </c>
      <c r="AU221">
        <f>IF(Datos!A221="","",IF(AT221="SI","Reponer ahora",IF(AND(AQ221&lt;&gt;"",AR221&gt;0),"Bajar "&amp;TEXT(AR221,"#,##0")&amp;" un.","En rango")))</f>
        <v/>
      </c>
    </row>
    <row r="222">
      <c r="A222">
        <f>IF(Datos!A222="","",Datos!A222)</f>
        <v/>
      </c>
      <c r="B222">
        <f>IF(Datos!A222="","",Datos!B222)</f>
        <v/>
      </c>
      <c r="C222">
        <f>IF(Datos!A222="","",IFERROR(MAX(0,N(Datos!D222)),0))</f>
        <v/>
      </c>
      <c r="D222">
        <f>IF(Datos!A222="","",IFERROR(MAX(0,N(Datos!E222)),0))</f>
        <v/>
      </c>
      <c r="E222">
        <f>IF(Datos!A222="","",IFERROR(MAX(0,N(Datos!F222)),0))</f>
        <v/>
      </c>
      <c r="F222">
        <f>IF(Datos!A222="","",IFERROR(MAX(0,N(Datos!G222)),0))</f>
        <v/>
      </c>
      <c r="G222">
        <f>IF(Datos!A222="","",IFERROR(MAX(0,N(Datos!H222)),0))</f>
        <v/>
      </c>
      <c r="H222">
        <f>IF(Datos!A222="","",IFERROR(MAX(0,N(Datos!I222)),0))</f>
        <v/>
      </c>
      <c r="J222">
        <f>IF(Datos!A222="","",IF(MAX(C$2:C$301)-MIN(C$2:C$301)&lt;0.000000001,0.5,(C222-MIN(C$2:C$301))/(MAX(C$2:C$301)-MIN(C$2:C$301)))+0.000000001)</f>
        <v/>
      </c>
      <c r="K222">
        <f>IF(Datos!A222="","",IF(MAX(D$2:D$301)-MIN(D$2:D$301)&lt;0.000000001,0.5,(D222-MIN(D$2:D$301))/(MAX(D$2:D$301)-MIN(D$2:D$301)))+0.000000001)</f>
        <v/>
      </c>
      <c r="L222">
        <f>IF(Datos!A222="","",IF(MAX(E$2:E$301)-MIN(E$2:E$301)&lt;0.000000001,0.5,(E222-MIN(E$2:E$301))/(MAX(E$2:E$301)-MIN(E$2:E$301)))+0.000000001)</f>
        <v/>
      </c>
      <c r="M222">
        <f>IF(Datos!A222="","",IF(MAX(F$2:F$301)-MIN(F$2:F$301)&lt;0.000000001,0.5,(F222-MIN(F$2:F$301))/(MAX(F$2:F$301)-MIN(F$2:F$301)))+0.000000001)</f>
        <v/>
      </c>
      <c r="N222">
        <f>IF(Datos!A222="","",IF(MAX(G$2:G$301)-MIN(G$2:G$301)&lt;0.000000001,0.5,(G222-MIN(G$2:G$301))/(MAX(G$2:G$301)-MIN(G$2:G$301)))+0.000000001)</f>
        <v/>
      </c>
      <c r="O222">
        <f>IF(Datos!A222="","",IF(MAX(H$2:H$301)-MIN(H$2:H$301)&lt;0.000000001,0.5,(H222-MIN(H$2:H$301))/(MAX(H$2:H$301)-MIN(H$2:H$301)))+0.000000001)</f>
        <v/>
      </c>
      <c r="Q222">
        <f>IF(Datos!A222="","",(J222/SUM(J$2:J$301))*LN(J222/SUM(J$2:J$301)))</f>
        <v/>
      </c>
      <c r="R222">
        <f>IF(Datos!A222="","",(K222/SUM(K$2:K$301))*LN(K222/SUM(K$2:K$301)))</f>
        <v/>
      </c>
      <c r="S222">
        <f>IF(Datos!A222="","",(L222/SUM(L$2:L$301))*LN(L222/SUM(L$2:L$301)))</f>
        <v/>
      </c>
      <c r="T222">
        <f>IF(Datos!A222="","",(M222/SUM(M$2:M$301))*LN(M222/SUM(M$2:M$301)))</f>
        <v/>
      </c>
      <c r="U222">
        <f>IF(Datos!A222="","",(N222/SUM(N$2:N$301))*LN(N222/SUM(N$2:N$301)))</f>
        <v/>
      </c>
      <c r="V222">
        <f>IF(Datos!A222="","",(O222/SUM(O$2:O$301))*LN(O222/SUM(O$2:O$301)))</f>
        <v/>
      </c>
      <c r="X222">
        <f>IF(Datos!A222="","",IF(SUMSQ(C$2:C$301)=0,0,C222/SQRT(SUMSQ(C$2:C$301)))*$BE$2)</f>
        <v/>
      </c>
      <c r="Y222">
        <f>IF(Datos!A222="","",IF(SUMSQ(D$2:D$301)=0,0,D222/SQRT(SUMSQ(D$2:D$301)))*$BE$3)</f>
        <v/>
      </c>
      <c r="Z222">
        <f>IF(Datos!A222="","",IF(SUMSQ(E$2:E$301)=0,0,E222/SQRT(SUMSQ(E$2:E$301)))*$BE$4)</f>
        <v/>
      </c>
      <c r="AA222">
        <f>IF(Datos!A222="","",IF(SUMSQ(F$2:F$301)=0,0,F222/SQRT(SUMSQ(F$2:F$301)))*$BE$5)</f>
        <v/>
      </c>
      <c r="AB222">
        <f>IF(Datos!A222="","",IF(SUMSQ(G$2:G$301)=0,0,G222/SQRT(SUMSQ(G$2:G$301)))*$BE$6)</f>
        <v/>
      </c>
      <c r="AC222">
        <f>IF(Datos!A222="","",IF(SUMSQ(H$2:H$301)=0,0,H222/SQRT(SUMSQ(H$2:H$301)))*$BE$7)</f>
        <v/>
      </c>
      <c r="AE222">
        <f>IF(Datos!A222="","",SQRT(SUMXMY2(X222:AC222,$X$303:$AC$303)))</f>
        <v/>
      </c>
      <c r="AF222">
        <f>IF(Datos!A222="","",SQRT(SUMXMY2(X222:AC222,$X$304:$AC$304)))</f>
        <v/>
      </c>
      <c r="AG222" s="11">
        <f>IF(Datos!A222="","",IF(AE222+AF222&lt;0.000000001,0.5,AF222/(AE222+AF222)))</f>
        <v/>
      </c>
      <c r="AH222">
        <f>IF(Datos!A222="","",AG222*MAX(C222*D222,1))</f>
        <v/>
      </c>
      <c r="AI222">
        <f>IF(Datos!A222="","",SUMIF($AH$2:$AH$301,"&gt;="&amp;AH222,$AH$2:$AH$301)/SUM($AH$2:$AH$301))</f>
        <v/>
      </c>
      <c r="AJ222" s="12">
        <f>IF(Datos!A222="","",IF(AI222&lt;=Parametros!$B$13,"A",IF(AI222&lt;=Parametros!$B$14,"B","C")))</f>
        <v/>
      </c>
      <c r="AK222" s="13">
        <f>IF(Datos!A222="","",VLOOKUP(AJ222,Parametros!$A$8:$C$10,2,FALSE))</f>
        <v/>
      </c>
      <c r="AL222">
        <f>IF(Datos!A222="","",VLOOKUP(AJ222,Parametros!$A$8:$C$10,3,FALSE))</f>
        <v/>
      </c>
      <c r="AM222">
        <f>IF(Datos!A222="","",NORMSINV(AK222))</f>
        <v/>
      </c>
      <c r="AN222">
        <f>IF(Datos!A222="","",D222/Parametros!$B$4)</f>
        <v/>
      </c>
      <c r="AO222">
        <f>IF(Datos!A222="","",MAX(0,ROUNDUP(AM222*(AN222*Parametros!$B$3)*SQRT((AL222+E222)),0)))</f>
        <v/>
      </c>
      <c r="AP222">
        <f>IF(Datos!A222="","",MAX(1,ROUNDUP(AN222*(AL222+E222)+AM222*(AN222*Parametros!$B$3)*SQRT((AL222+E222)),0)))</f>
        <v/>
      </c>
      <c r="AQ222">
        <f>IF(Datos!A222="","",IF(Datos!J222="","",Datos!J222))</f>
        <v/>
      </c>
      <c r="AR222">
        <f>IF(OR(Datos!A222="",AQ222=""),"",MAX(0,AQ222-AP222))</f>
        <v/>
      </c>
      <c r="AS222" s="10">
        <f>IF(OR(Datos!A222="",AQ222=""),"",AR222*C222)</f>
        <v/>
      </c>
      <c r="AT222" s="12">
        <f>IF(OR(Datos!A222="",AQ222=""),"",IF(AQ222&lt;AO222,"SI",""))</f>
        <v/>
      </c>
      <c r="AU222">
        <f>IF(Datos!A222="","",IF(AT222="SI","Reponer ahora",IF(AND(AQ222&lt;&gt;"",AR222&gt;0),"Bajar "&amp;TEXT(AR222,"#,##0")&amp;" un.","En rango")))</f>
        <v/>
      </c>
    </row>
    <row r="223">
      <c r="A223">
        <f>IF(Datos!A223="","",Datos!A223)</f>
        <v/>
      </c>
      <c r="B223">
        <f>IF(Datos!A223="","",Datos!B223)</f>
        <v/>
      </c>
      <c r="C223">
        <f>IF(Datos!A223="","",IFERROR(MAX(0,N(Datos!D223)),0))</f>
        <v/>
      </c>
      <c r="D223">
        <f>IF(Datos!A223="","",IFERROR(MAX(0,N(Datos!E223)),0))</f>
        <v/>
      </c>
      <c r="E223">
        <f>IF(Datos!A223="","",IFERROR(MAX(0,N(Datos!F223)),0))</f>
        <v/>
      </c>
      <c r="F223">
        <f>IF(Datos!A223="","",IFERROR(MAX(0,N(Datos!G223)),0))</f>
        <v/>
      </c>
      <c r="G223">
        <f>IF(Datos!A223="","",IFERROR(MAX(0,N(Datos!H223)),0))</f>
        <v/>
      </c>
      <c r="H223">
        <f>IF(Datos!A223="","",IFERROR(MAX(0,N(Datos!I223)),0))</f>
        <v/>
      </c>
      <c r="J223">
        <f>IF(Datos!A223="","",IF(MAX(C$2:C$301)-MIN(C$2:C$301)&lt;0.000000001,0.5,(C223-MIN(C$2:C$301))/(MAX(C$2:C$301)-MIN(C$2:C$301)))+0.000000001)</f>
        <v/>
      </c>
      <c r="K223">
        <f>IF(Datos!A223="","",IF(MAX(D$2:D$301)-MIN(D$2:D$301)&lt;0.000000001,0.5,(D223-MIN(D$2:D$301))/(MAX(D$2:D$301)-MIN(D$2:D$301)))+0.000000001)</f>
        <v/>
      </c>
      <c r="L223">
        <f>IF(Datos!A223="","",IF(MAX(E$2:E$301)-MIN(E$2:E$301)&lt;0.000000001,0.5,(E223-MIN(E$2:E$301))/(MAX(E$2:E$301)-MIN(E$2:E$301)))+0.000000001)</f>
        <v/>
      </c>
      <c r="M223">
        <f>IF(Datos!A223="","",IF(MAX(F$2:F$301)-MIN(F$2:F$301)&lt;0.000000001,0.5,(F223-MIN(F$2:F$301))/(MAX(F$2:F$301)-MIN(F$2:F$301)))+0.000000001)</f>
        <v/>
      </c>
      <c r="N223">
        <f>IF(Datos!A223="","",IF(MAX(G$2:G$301)-MIN(G$2:G$301)&lt;0.000000001,0.5,(G223-MIN(G$2:G$301))/(MAX(G$2:G$301)-MIN(G$2:G$301)))+0.000000001)</f>
        <v/>
      </c>
      <c r="O223">
        <f>IF(Datos!A223="","",IF(MAX(H$2:H$301)-MIN(H$2:H$301)&lt;0.000000001,0.5,(H223-MIN(H$2:H$301))/(MAX(H$2:H$301)-MIN(H$2:H$301)))+0.000000001)</f>
        <v/>
      </c>
      <c r="Q223">
        <f>IF(Datos!A223="","",(J223/SUM(J$2:J$301))*LN(J223/SUM(J$2:J$301)))</f>
        <v/>
      </c>
      <c r="R223">
        <f>IF(Datos!A223="","",(K223/SUM(K$2:K$301))*LN(K223/SUM(K$2:K$301)))</f>
        <v/>
      </c>
      <c r="S223">
        <f>IF(Datos!A223="","",(L223/SUM(L$2:L$301))*LN(L223/SUM(L$2:L$301)))</f>
        <v/>
      </c>
      <c r="T223">
        <f>IF(Datos!A223="","",(M223/SUM(M$2:M$301))*LN(M223/SUM(M$2:M$301)))</f>
        <v/>
      </c>
      <c r="U223">
        <f>IF(Datos!A223="","",(N223/SUM(N$2:N$301))*LN(N223/SUM(N$2:N$301)))</f>
        <v/>
      </c>
      <c r="V223">
        <f>IF(Datos!A223="","",(O223/SUM(O$2:O$301))*LN(O223/SUM(O$2:O$301)))</f>
        <v/>
      </c>
      <c r="X223">
        <f>IF(Datos!A223="","",IF(SUMSQ(C$2:C$301)=0,0,C223/SQRT(SUMSQ(C$2:C$301)))*$BE$2)</f>
        <v/>
      </c>
      <c r="Y223">
        <f>IF(Datos!A223="","",IF(SUMSQ(D$2:D$301)=0,0,D223/SQRT(SUMSQ(D$2:D$301)))*$BE$3)</f>
        <v/>
      </c>
      <c r="Z223">
        <f>IF(Datos!A223="","",IF(SUMSQ(E$2:E$301)=0,0,E223/SQRT(SUMSQ(E$2:E$301)))*$BE$4)</f>
        <v/>
      </c>
      <c r="AA223">
        <f>IF(Datos!A223="","",IF(SUMSQ(F$2:F$301)=0,0,F223/SQRT(SUMSQ(F$2:F$301)))*$BE$5)</f>
        <v/>
      </c>
      <c r="AB223">
        <f>IF(Datos!A223="","",IF(SUMSQ(G$2:G$301)=0,0,G223/SQRT(SUMSQ(G$2:G$301)))*$BE$6)</f>
        <v/>
      </c>
      <c r="AC223">
        <f>IF(Datos!A223="","",IF(SUMSQ(H$2:H$301)=0,0,H223/SQRT(SUMSQ(H$2:H$301)))*$BE$7)</f>
        <v/>
      </c>
      <c r="AE223">
        <f>IF(Datos!A223="","",SQRT(SUMXMY2(X223:AC223,$X$303:$AC$303)))</f>
        <v/>
      </c>
      <c r="AF223">
        <f>IF(Datos!A223="","",SQRT(SUMXMY2(X223:AC223,$X$304:$AC$304)))</f>
        <v/>
      </c>
      <c r="AG223" s="11">
        <f>IF(Datos!A223="","",IF(AE223+AF223&lt;0.000000001,0.5,AF223/(AE223+AF223)))</f>
        <v/>
      </c>
      <c r="AH223">
        <f>IF(Datos!A223="","",AG223*MAX(C223*D223,1))</f>
        <v/>
      </c>
      <c r="AI223">
        <f>IF(Datos!A223="","",SUMIF($AH$2:$AH$301,"&gt;="&amp;AH223,$AH$2:$AH$301)/SUM($AH$2:$AH$301))</f>
        <v/>
      </c>
      <c r="AJ223" s="12">
        <f>IF(Datos!A223="","",IF(AI223&lt;=Parametros!$B$13,"A",IF(AI223&lt;=Parametros!$B$14,"B","C")))</f>
        <v/>
      </c>
      <c r="AK223" s="13">
        <f>IF(Datos!A223="","",VLOOKUP(AJ223,Parametros!$A$8:$C$10,2,FALSE))</f>
        <v/>
      </c>
      <c r="AL223">
        <f>IF(Datos!A223="","",VLOOKUP(AJ223,Parametros!$A$8:$C$10,3,FALSE))</f>
        <v/>
      </c>
      <c r="AM223">
        <f>IF(Datos!A223="","",NORMSINV(AK223))</f>
        <v/>
      </c>
      <c r="AN223">
        <f>IF(Datos!A223="","",D223/Parametros!$B$4)</f>
        <v/>
      </c>
      <c r="AO223">
        <f>IF(Datos!A223="","",MAX(0,ROUNDUP(AM223*(AN223*Parametros!$B$3)*SQRT((AL223+E223)),0)))</f>
        <v/>
      </c>
      <c r="AP223">
        <f>IF(Datos!A223="","",MAX(1,ROUNDUP(AN223*(AL223+E223)+AM223*(AN223*Parametros!$B$3)*SQRT((AL223+E223)),0)))</f>
        <v/>
      </c>
      <c r="AQ223">
        <f>IF(Datos!A223="","",IF(Datos!J223="","",Datos!J223))</f>
        <v/>
      </c>
      <c r="AR223">
        <f>IF(OR(Datos!A223="",AQ223=""),"",MAX(0,AQ223-AP223))</f>
        <v/>
      </c>
      <c r="AS223" s="10">
        <f>IF(OR(Datos!A223="",AQ223=""),"",AR223*C223)</f>
        <v/>
      </c>
      <c r="AT223" s="12">
        <f>IF(OR(Datos!A223="",AQ223=""),"",IF(AQ223&lt;AO223,"SI",""))</f>
        <v/>
      </c>
      <c r="AU223">
        <f>IF(Datos!A223="","",IF(AT223="SI","Reponer ahora",IF(AND(AQ223&lt;&gt;"",AR223&gt;0),"Bajar "&amp;TEXT(AR223,"#,##0")&amp;" un.","En rango")))</f>
        <v/>
      </c>
    </row>
    <row r="224">
      <c r="A224">
        <f>IF(Datos!A224="","",Datos!A224)</f>
        <v/>
      </c>
      <c r="B224">
        <f>IF(Datos!A224="","",Datos!B224)</f>
        <v/>
      </c>
      <c r="C224">
        <f>IF(Datos!A224="","",IFERROR(MAX(0,N(Datos!D224)),0))</f>
        <v/>
      </c>
      <c r="D224">
        <f>IF(Datos!A224="","",IFERROR(MAX(0,N(Datos!E224)),0))</f>
        <v/>
      </c>
      <c r="E224">
        <f>IF(Datos!A224="","",IFERROR(MAX(0,N(Datos!F224)),0))</f>
        <v/>
      </c>
      <c r="F224">
        <f>IF(Datos!A224="","",IFERROR(MAX(0,N(Datos!G224)),0))</f>
        <v/>
      </c>
      <c r="G224">
        <f>IF(Datos!A224="","",IFERROR(MAX(0,N(Datos!H224)),0))</f>
        <v/>
      </c>
      <c r="H224">
        <f>IF(Datos!A224="","",IFERROR(MAX(0,N(Datos!I224)),0))</f>
        <v/>
      </c>
      <c r="J224">
        <f>IF(Datos!A224="","",IF(MAX(C$2:C$301)-MIN(C$2:C$301)&lt;0.000000001,0.5,(C224-MIN(C$2:C$301))/(MAX(C$2:C$301)-MIN(C$2:C$301)))+0.000000001)</f>
        <v/>
      </c>
      <c r="K224">
        <f>IF(Datos!A224="","",IF(MAX(D$2:D$301)-MIN(D$2:D$301)&lt;0.000000001,0.5,(D224-MIN(D$2:D$301))/(MAX(D$2:D$301)-MIN(D$2:D$301)))+0.000000001)</f>
        <v/>
      </c>
      <c r="L224">
        <f>IF(Datos!A224="","",IF(MAX(E$2:E$301)-MIN(E$2:E$301)&lt;0.000000001,0.5,(E224-MIN(E$2:E$301))/(MAX(E$2:E$301)-MIN(E$2:E$301)))+0.000000001)</f>
        <v/>
      </c>
      <c r="M224">
        <f>IF(Datos!A224="","",IF(MAX(F$2:F$301)-MIN(F$2:F$301)&lt;0.000000001,0.5,(F224-MIN(F$2:F$301))/(MAX(F$2:F$301)-MIN(F$2:F$301)))+0.000000001)</f>
        <v/>
      </c>
      <c r="N224">
        <f>IF(Datos!A224="","",IF(MAX(G$2:G$301)-MIN(G$2:G$301)&lt;0.000000001,0.5,(G224-MIN(G$2:G$301))/(MAX(G$2:G$301)-MIN(G$2:G$301)))+0.000000001)</f>
        <v/>
      </c>
      <c r="O224">
        <f>IF(Datos!A224="","",IF(MAX(H$2:H$301)-MIN(H$2:H$301)&lt;0.000000001,0.5,(H224-MIN(H$2:H$301))/(MAX(H$2:H$301)-MIN(H$2:H$301)))+0.000000001)</f>
        <v/>
      </c>
      <c r="Q224">
        <f>IF(Datos!A224="","",(J224/SUM(J$2:J$301))*LN(J224/SUM(J$2:J$301)))</f>
        <v/>
      </c>
      <c r="R224">
        <f>IF(Datos!A224="","",(K224/SUM(K$2:K$301))*LN(K224/SUM(K$2:K$301)))</f>
        <v/>
      </c>
      <c r="S224">
        <f>IF(Datos!A224="","",(L224/SUM(L$2:L$301))*LN(L224/SUM(L$2:L$301)))</f>
        <v/>
      </c>
      <c r="T224">
        <f>IF(Datos!A224="","",(M224/SUM(M$2:M$301))*LN(M224/SUM(M$2:M$301)))</f>
        <v/>
      </c>
      <c r="U224">
        <f>IF(Datos!A224="","",(N224/SUM(N$2:N$301))*LN(N224/SUM(N$2:N$301)))</f>
        <v/>
      </c>
      <c r="V224">
        <f>IF(Datos!A224="","",(O224/SUM(O$2:O$301))*LN(O224/SUM(O$2:O$301)))</f>
        <v/>
      </c>
      <c r="X224">
        <f>IF(Datos!A224="","",IF(SUMSQ(C$2:C$301)=0,0,C224/SQRT(SUMSQ(C$2:C$301)))*$BE$2)</f>
        <v/>
      </c>
      <c r="Y224">
        <f>IF(Datos!A224="","",IF(SUMSQ(D$2:D$301)=0,0,D224/SQRT(SUMSQ(D$2:D$301)))*$BE$3)</f>
        <v/>
      </c>
      <c r="Z224">
        <f>IF(Datos!A224="","",IF(SUMSQ(E$2:E$301)=0,0,E224/SQRT(SUMSQ(E$2:E$301)))*$BE$4)</f>
        <v/>
      </c>
      <c r="AA224">
        <f>IF(Datos!A224="","",IF(SUMSQ(F$2:F$301)=0,0,F224/SQRT(SUMSQ(F$2:F$301)))*$BE$5)</f>
        <v/>
      </c>
      <c r="AB224">
        <f>IF(Datos!A224="","",IF(SUMSQ(G$2:G$301)=0,0,G224/SQRT(SUMSQ(G$2:G$301)))*$BE$6)</f>
        <v/>
      </c>
      <c r="AC224">
        <f>IF(Datos!A224="","",IF(SUMSQ(H$2:H$301)=0,0,H224/SQRT(SUMSQ(H$2:H$301)))*$BE$7)</f>
        <v/>
      </c>
      <c r="AE224">
        <f>IF(Datos!A224="","",SQRT(SUMXMY2(X224:AC224,$X$303:$AC$303)))</f>
        <v/>
      </c>
      <c r="AF224">
        <f>IF(Datos!A224="","",SQRT(SUMXMY2(X224:AC224,$X$304:$AC$304)))</f>
        <v/>
      </c>
      <c r="AG224" s="11">
        <f>IF(Datos!A224="","",IF(AE224+AF224&lt;0.000000001,0.5,AF224/(AE224+AF224)))</f>
        <v/>
      </c>
      <c r="AH224">
        <f>IF(Datos!A224="","",AG224*MAX(C224*D224,1))</f>
        <v/>
      </c>
      <c r="AI224">
        <f>IF(Datos!A224="","",SUMIF($AH$2:$AH$301,"&gt;="&amp;AH224,$AH$2:$AH$301)/SUM($AH$2:$AH$301))</f>
        <v/>
      </c>
      <c r="AJ224" s="12">
        <f>IF(Datos!A224="","",IF(AI224&lt;=Parametros!$B$13,"A",IF(AI224&lt;=Parametros!$B$14,"B","C")))</f>
        <v/>
      </c>
      <c r="AK224" s="13">
        <f>IF(Datos!A224="","",VLOOKUP(AJ224,Parametros!$A$8:$C$10,2,FALSE))</f>
        <v/>
      </c>
      <c r="AL224">
        <f>IF(Datos!A224="","",VLOOKUP(AJ224,Parametros!$A$8:$C$10,3,FALSE))</f>
        <v/>
      </c>
      <c r="AM224">
        <f>IF(Datos!A224="","",NORMSINV(AK224))</f>
        <v/>
      </c>
      <c r="AN224">
        <f>IF(Datos!A224="","",D224/Parametros!$B$4)</f>
        <v/>
      </c>
      <c r="AO224">
        <f>IF(Datos!A224="","",MAX(0,ROUNDUP(AM224*(AN224*Parametros!$B$3)*SQRT((AL224+E224)),0)))</f>
        <v/>
      </c>
      <c r="AP224">
        <f>IF(Datos!A224="","",MAX(1,ROUNDUP(AN224*(AL224+E224)+AM224*(AN224*Parametros!$B$3)*SQRT((AL224+E224)),0)))</f>
        <v/>
      </c>
      <c r="AQ224">
        <f>IF(Datos!A224="","",IF(Datos!J224="","",Datos!J224))</f>
        <v/>
      </c>
      <c r="AR224">
        <f>IF(OR(Datos!A224="",AQ224=""),"",MAX(0,AQ224-AP224))</f>
        <v/>
      </c>
      <c r="AS224" s="10">
        <f>IF(OR(Datos!A224="",AQ224=""),"",AR224*C224)</f>
        <v/>
      </c>
      <c r="AT224" s="12">
        <f>IF(OR(Datos!A224="",AQ224=""),"",IF(AQ224&lt;AO224,"SI",""))</f>
        <v/>
      </c>
      <c r="AU224">
        <f>IF(Datos!A224="","",IF(AT224="SI","Reponer ahora",IF(AND(AQ224&lt;&gt;"",AR224&gt;0),"Bajar "&amp;TEXT(AR224,"#,##0")&amp;" un.","En rango")))</f>
        <v/>
      </c>
    </row>
    <row r="225">
      <c r="A225">
        <f>IF(Datos!A225="","",Datos!A225)</f>
        <v/>
      </c>
      <c r="B225">
        <f>IF(Datos!A225="","",Datos!B225)</f>
        <v/>
      </c>
      <c r="C225">
        <f>IF(Datos!A225="","",IFERROR(MAX(0,N(Datos!D225)),0))</f>
        <v/>
      </c>
      <c r="D225">
        <f>IF(Datos!A225="","",IFERROR(MAX(0,N(Datos!E225)),0))</f>
        <v/>
      </c>
      <c r="E225">
        <f>IF(Datos!A225="","",IFERROR(MAX(0,N(Datos!F225)),0))</f>
        <v/>
      </c>
      <c r="F225">
        <f>IF(Datos!A225="","",IFERROR(MAX(0,N(Datos!G225)),0))</f>
        <v/>
      </c>
      <c r="G225">
        <f>IF(Datos!A225="","",IFERROR(MAX(0,N(Datos!H225)),0))</f>
        <v/>
      </c>
      <c r="H225">
        <f>IF(Datos!A225="","",IFERROR(MAX(0,N(Datos!I225)),0))</f>
        <v/>
      </c>
      <c r="J225">
        <f>IF(Datos!A225="","",IF(MAX(C$2:C$301)-MIN(C$2:C$301)&lt;0.000000001,0.5,(C225-MIN(C$2:C$301))/(MAX(C$2:C$301)-MIN(C$2:C$301)))+0.000000001)</f>
        <v/>
      </c>
      <c r="K225">
        <f>IF(Datos!A225="","",IF(MAX(D$2:D$301)-MIN(D$2:D$301)&lt;0.000000001,0.5,(D225-MIN(D$2:D$301))/(MAX(D$2:D$301)-MIN(D$2:D$301)))+0.000000001)</f>
        <v/>
      </c>
      <c r="L225">
        <f>IF(Datos!A225="","",IF(MAX(E$2:E$301)-MIN(E$2:E$301)&lt;0.000000001,0.5,(E225-MIN(E$2:E$301))/(MAX(E$2:E$301)-MIN(E$2:E$301)))+0.000000001)</f>
        <v/>
      </c>
      <c r="M225">
        <f>IF(Datos!A225="","",IF(MAX(F$2:F$301)-MIN(F$2:F$301)&lt;0.000000001,0.5,(F225-MIN(F$2:F$301))/(MAX(F$2:F$301)-MIN(F$2:F$301)))+0.000000001)</f>
        <v/>
      </c>
      <c r="N225">
        <f>IF(Datos!A225="","",IF(MAX(G$2:G$301)-MIN(G$2:G$301)&lt;0.000000001,0.5,(G225-MIN(G$2:G$301))/(MAX(G$2:G$301)-MIN(G$2:G$301)))+0.000000001)</f>
        <v/>
      </c>
      <c r="O225">
        <f>IF(Datos!A225="","",IF(MAX(H$2:H$301)-MIN(H$2:H$301)&lt;0.000000001,0.5,(H225-MIN(H$2:H$301))/(MAX(H$2:H$301)-MIN(H$2:H$301)))+0.000000001)</f>
        <v/>
      </c>
      <c r="Q225">
        <f>IF(Datos!A225="","",(J225/SUM(J$2:J$301))*LN(J225/SUM(J$2:J$301)))</f>
        <v/>
      </c>
      <c r="R225">
        <f>IF(Datos!A225="","",(K225/SUM(K$2:K$301))*LN(K225/SUM(K$2:K$301)))</f>
        <v/>
      </c>
      <c r="S225">
        <f>IF(Datos!A225="","",(L225/SUM(L$2:L$301))*LN(L225/SUM(L$2:L$301)))</f>
        <v/>
      </c>
      <c r="T225">
        <f>IF(Datos!A225="","",(M225/SUM(M$2:M$301))*LN(M225/SUM(M$2:M$301)))</f>
        <v/>
      </c>
      <c r="U225">
        <f>IF(Datos!A225="","",(N225/SUM(N$2:N$301))*LN(N225/SUM(N$2:N$301)))</f>
        <v/>
      </c>
      <c r="V225">
        <f>IF(Datos!A225="","",(O225/SUM(O$2:O$301))*LN(O225/SUM(O$2:O$301)))</f>
        <v/>
      </c>
      <c r="X225">
        <f>IF(Datos!A225="","",IF(SUMSQ(C$2:C$301)=0,0,C225/SQRT(SUMSQ(C$2:C$301)))*$BE$2)</f>
        <v/>
      </c>
      <c r="Y225">
        <f>IF(Datos!A225="","",IF(SUMSQ(D$2:D$301)=0,0,D225/SQRT(SUMSQ(D$2:D$301)))*$BE$3)</f>
        <v/>
      </c>
      <c r="Z225">
        <f>IF(Datos!A225="","",IF(SUMSQ(E$2:E$301)=0,0,E225/SQRT(SUMSQ(E$2:E$301)))*$BE$4)</f>
        <v/>
      </c>
      <c r="AA225">
        <f>IF(Datos!A225="","",IF(SUMSQ(F$2:F$301)=0,0,F225/SQRT(SUMSQ(F$2:F$301)))*$BE$5)</f>
        <v/>
      </c>
      <c r="AB225">
        <f>IF(Datos!A225="","",IF(SUMSQ(G$2:G$301)=0,0,G225/SQRT(SUMSQ(G$2:G$301)))*$BE$6)</f>
        <v/>
      </c>
      <c r="AC225">
        <f>IF(Datos!A225="","",IF(SUMSQ(H$2:H$301)=0,0,H225/SQRT(SUMSQ(H$2:H$301)))*$BE$7)</f>
        <v/>
      </c>
      <c r="AE225">
        <f>IF(Datos!A225="","",SQRT(SUMXMY2(X225:AC225,$X$303:$AC$303)))</f>
        <v/>
      </c>
      <c r="AF225">
        <f>IF(Datos!A225="","",SQRT(SUMXMY2(X225:AC225,$X$304:$AC$304)))</f>
        <v/>
      </c>
      <c r="AG225" s="11">
        <f>IF(Datos!A225="","",IF(AE225+AF225&lt;0.000000001,0.5,AF225/(AE225+AF225)))</f>
        <v/>
      </c>
      <c r="AH225">
        <f>IF(Datos!A225="","",AG225*MAX(C225*D225,1))</f>
        <v/>
      </c>
      <c r="AI225">
        <f>IF(Datos!A225="","",SUMIF($AH$2:$AH$301,"&gt;="&amp;AH225,$AH$2:$AH$301)/SUM($AH$2:$AH$301))</f>
        <v/>
      </c>
      <c r="AJ225" s="12">
        <f>IF(Datos!A225="","",IF(AI225&lt;=Parametros!$B$13,"A",IF(AI225&lt;=Parametros!$B$14,"B","C")))</f>
        <v/>
      </c>
      <c r="AK225" s="13">
        <f>IF(Datos!A225="","",VLOOKUP(AJ225,Parametros!$A$8:$C$10,2,FALSE))</f>
        <v/>
      </c>
      <c r="AL225">
        <f>IF(Datos!A225="","",VLOOKUP(AJ225,Parametros!$A$8:$C$10,3,FALSE))</f>
        <v/>
      </c>
      <c r="AM225">
        <f>IF(Datos!A225="","",NORMSINV(AK225))</f>
        <v/>
      </c>
      <c r="AN225">
        <f>IF(Datos!A225="","",D225/Parametros!$B$4)</f>
        <v/>
      </c>
      <c r="AO225">
        <f>IF(Datos!A225="","",MAX(0,ROUNDUP(AM225*(AN225*Parametros!$B$3)*SQRT((AL225+E225)),0)))</f>
        <v/>
      </c>
      <c r="AP225">
        <f>IF(Datos!A225="","",MAX(1,ROUNDUP(AN225*(AL225+E225)+AM225*(AN225*Parametros!$B$3)*SQRT((AL225+E225)),0)))</f>
        <v/>
      </c>
      <c r="AQ225">
        <f>IF(Datos!A225="","",IF(Datos!J225="","",Datos!J225))</f>
        <v/>
      </c>
      <c r="AR225">
        <f>IF(OR(Datos!A225="",AQ225=""),"",MAX(0,AQ225-AP225))</f>
        <v/>
      </c>
      <c r="AS225" s="10">
        <f>IF(OR(Datos!A225="",AQ225=""),"",AR225*C225)</f>
        <v/>
      </c>
      <c r="AT225" s="12">
        <f>IF(OR(Datos!A225="",AQ225=""),"",IF(AQ225&lt;AO225,"SI",""))</f>
        <v/>
      </c>
      <c r="AU225">
        <f>IF(Datos!A225="","",IF(AT225="SI","Reponer ahora",IF(AND(AQ225&lt;&gt;"",AR225&gt;0),"Bajar "&amp;TEXT(AR225,"#,##0")&amp;" un.","En rango")))</f>
        <v/>
      </c>
    </row>
    <row r="226">
      <c r="A226">
        <f>IF(Datos!A226="","",Datos!A226)</f>
        <v/>
      </c>
      <c r="B226">
        <f>IF(Datos!A226="","",Datos!B226)</f>
        <v/>
      </c>
      <c r="C226">
        <f>IF(Datos!A226="","",IFERROR(MAX(0,N(Datos!D226)),0))</f>
        <v/>
      </c>
      <c r="D226">
        <f>IF(Datos!A226="","",IFERROR(MAX(0,N(Datos!E226)),0))</f>
        <v/>
      </c>
      <c r="E226">
        <f>IF(Datos!A226="","",IFERROR(MAX(0,N(Datos!F226)),0))</f>
        <v/>
      </c>
      <c r="F226">
        <f>IF(Datos!A226="","",IFERROR(MAX(0,N(Datos!G226)),0))</f>
        <v/>
      </c>
      <c r="G226">
        <f>IF(Datos!A226="","",IFERROR(MAX(0,N(Datos!H226)),0))</f>
        <v/>
      </c>
      <c r="H226">
        <f>IF(Datos!A226="","",IFERROR(MAX(0,N(Datos!I226)),0))</f>
        <v/>
      </c>
      <c r="J226">
        <f>IF(Datos!A226="","",IF(MAX(C$2:C$301)-MIN(C$2:C$301)&lt;0.000000001,0.5,(C226-MIN(C$2:C$301))/(MAX(C$2:C$301)-MIN(C$2:C$301)))+0.000000001)</f>
        <v/>
      </c>
      <c r="K226">
        <f>IF(Datos!A226="","",IF(MAX(D$2:D$301)-MIN(D$2:D$301)&lt;0.000000001,0.5,(D226-MIN(D$2:D$301))/(MAX(D$2:D$301)-MIN(D$2:D$301)))+0.000000001)</f>
        <v/>
      </c>
      <c r="L226">
        <f>IF(Datos!A226="","",IF(MAX(E$2:E$301)-MIN(E$2:E$301)&lt;0.000000001,0.5,(E226-MIN(E$2:E$301))/(MAX(E$2:E$301)-MIN(E$2:E$301)))+0.000000001)</f>
        <v/>
      </c>
      <c r="M226">
        <f>IF(Datos!A226="","",IF(MAX(F$2:F$301)-MIN(F$2:F$301)&lt;0.000000001,0.5,(F226-MIN(F$2:F$301))/(MAX(F$2:F$301)-MIN(F$2:F$301)))+0.000000001)</f>
        <v/>
      </c>
      <c r="N226">
        <f>IF(Datos!A226="","",IF(MAX(G$2:G$301)-MIN(G$2:G$301)&lt;0.000000001,0.5,(G226-MIN(G$2:G$301))/(MAX(G$2:G$301)-MIN(G$2:G$301)))+0.000000001)</f>
        <v/>
      </c>
      <c r="O226">
        <f>IF(Datos!A226="","",IF(MAX(H$2:H$301)-MIN(H$2:H$301)&lt;0.000000001,0.5,(H226-MIN(H$2:H$301))/(MAX(H$2:H$301)-MIN(H$2:H$301)))+0.000000001)</f>
        <v/>
      </c>
      <c r="Q226">
        <f>IF(Datos!A226="","",(J226/SUM(J$2:J$301))*LN(J226/SUM(J$2:J$301)))</f>
        <v/>
      </c>
      <c r="R226">
        <f>IF(Datos!A226="","",(K226/SUM(K$2:K$301))*LN(K226/SUM(K$2:K$301)))</f>
        <v/>
      </c>
      <c r="S226">
        <f>IF(Datos!A226="","",(L226/SUM(L$2:L$301))*LN(L226/SUM(L$2:L$301)))</f>
        <v/>
      </c>
      <c r="T226">
        <f>IF(Datos!A226="","",(M226/SUM(M$2:M$301))*LN(M226/SUM(M$2:M$301)))</f>
        <v/>
      </c>
      <c r="U226">
        <f>IF(Datos!A226="","",(N226/SUM(N$2:N$301))*LN(N226/SUM(N$2:N$301)))</f>
        <v/>
      </c>
      <c r="V226">
        <f>IF(Datos!A226="","",(O226/SUM(O$2:O$301))*LN(O226/SUM(O$2:O$301)))</f>
        <v/>
      </c>
      <c r="X226">
        <f>IF(Datos!A226="","",IF(SUMSQ(C$2:C$301)=0,0,C226/SQRT(SUMSQ(C$2:C$301)))*$BE$2)</f>
        <v/>
      </c>
      <c r="Y226">
        <f>IF(Datos!A226="","",IF(SUMSQ(D$2:D$301)=0,0,D226/SQRT(SUMSQ(D$2:D$301)))*$BE$3)</f>
        <v/>
      </c>
      <c r="Z226">
        <f>IF(Datos!A226="","",IF(SUMSQ(E$2:E$301)=0,0,E226/SQRT(SUMSQ(E$2:E$301)))*$BE$4)</f>
        <v/>
      </c>
      <c r="AA226">
        <f>IF(Datos!A226="","",IF(SUMSQ(F$2:F$301)=0,0,F226/SQRT(SUMSQ(F$2:F$301)))*$BE$5)</f>
        <v/>
      </c>
      <c r="AB226">
        <f>IF(Datos!A226="","",IF(SUMSQ(G$2:G$301)=0,0,G226/SQRT(SUMSQ(G$2:G$301)))*$BE$6)</f>
        <v/>
      </c>
      <c r="AC226">
        <f>IF(Datos!A226="","",IF(SUMSQ(H$2:H$301)=0,0,H226/SQRT(SUMSQ(H$2:H$301)))*$BE$7)</f>
        <v/>
      </c>
      <c r="AE226">
        <f>IF(Datos!A226="","",SQRT(SUMXMY2(X226:AC226,$X$303:$AC$303)))</f>
        <v/>
      </c>
      <c r="AF226">
        <f>IF(Datos!A226="","",SQRT(SUMXMY2(X226:AC226,$X$304:$AC$304)))</f>
        <v/>
      </c>
      <c r="AG226" s="11">
        <f>IF(Datos!A226="","",IF(AE226+AF226&lt;0.000000001,0.5,AF226/(AE226+AF226)))</f>
        <v/>
      </c>
      <c r="AH226">
        <f>IF(Datos!A226="","",AG226*MAX(C226*D226,1))</f>
        <v/>
      </c>
      <c r="AI226">
        <f>IF(Datos!A226="","",SUMIF($AH$2:$AH$301,"&gt;="&amp;AH226,$AH$2:$AH$301)/SUM($AH$2:$AH$301))</f>
        <v/>
      </c>
      <c r="AJ226" s="12">
        <f>IF(Datos!A226="","",IF(AI226&lt;=Parametros!$B$13,"A",IF(AI226&lt;=Parametros!$B$14,"B","C")))</f>
        <v/>
      </c>
      <c r="AK226" s="13">
        <f>IF(Datos!A226="","",VLOOKUP(AJ226,Parametros!$A$8:$C$10,2,FALSE))</f>
        <v/>
      </c>
      <c r="AL226">
        <f>IF(Datos!A226="","",VLOOKUP(AJ226,Parametros!$A$8:$C$10,3,FALSE))</f>
        <v/>
      </c>
      <c r="AM226">
        <f>IF(Datos!A226="","",NORMSINV(AK226))</f>
        <v/>
      </c>
      <c r="AN226">
        <f>IF(Datos!A226="","",D226/Parametros!$B$4)</f>
        <v/>
      </c>
      <c r="AO226">
        <f>IF(Datos!A226="","",MAX(0,ROUNDUP(AM226*(AN226*Parametros!$B$3)*SQRT((AL226+E226)),0)))</f>
        <v/>
      </c>
      <c r="AP226">
        <f>IF(Datos!A226="","",MAX(1,ROUNDUP(AN226*(AL226+E226)+AM226*(AN226*Parametros!$B$3)*SQRT((AL226+E226)),0)))</f>
        <v/>
      </c>
      <c r="AQ226">
        <f>IF(Datos!A226="","",IF(Datos!J226="","",Datos!J226))</f>
        <v/>
      </c>
      <c r="AR226">
        <f>IF(OR(Datos!A226="",AQ226=""),"",MAX(0,AQ226-AP226))</f>
        <v/>
      </c>
      <c r="AS226" s="10">
        <f>IF(OR(Datos!A226="",AQ226=""),"",AR226*C226)</f>
        <v/>
      </c>
      <c r="AT226" s="12">
        <f>IF(OR(Datos!A226="",AQ226=""),"",IF(AQ226&lt;AO226,"SI",""))</f>
        <v/>
      </c>
      <c r="AU226">
        <f>IF(Datos!A226="","",IF(AT226="SI","Reponer ahora",IF(AND(AQ226&lt;&gt;"",AR226&gt;0),"Bajar "&amp;TEXT(AR226,"#,##0")&amp;" un.","En rango")))</f>
        <v/>
      </c>
    </row>
    <row r="227">
      <c r="A227">
        <f>IF(Datos!A227="","",Datos!A227)</f>
        <v/>
      </c>
      <c r="B227">
        <f>IF(Datos!A227="","",Datos!B227)</f>
        <v/>
      </c>
      <c r="C227">
        <f>IF(Datos!A227="","",IFERROR(MAX(0,N(Datos!D227)),0))</f>
        <v/>
      </c>
      <c r="D227">
        <f>IF(Datos!A227="","",IFERROR(MAX(0,N(Datos!E227)),0))</f>
        <v/>
      </c>
      <c r="E227">
        <f>IF(Datos!A227="","",IFERROR(MAX(0,N(Datos!F227)),0))</f>
        <v/>
      </c>
      <c r="F227">
        <f>IF(Datos!A227="","",IFERROR(MAX(0,N(Datos!G227)),0))</f>
        <v/>
      </c>
      <c r="G227">
        <f>IF(Datos!A227="","",IFERROR(MAX(0,N(Datos!H227)),0))</f>
        <v/>
      </c>
      <c r="H227">
        <f>IF(Datos!A227="","",IFERROR(MAX(0,N(Datos!I227)),0))</f>
        <v/>
      </c>
      <c r="J227">
        <f>IF(Datos!A227="","",IF(MAX(C$2:C$301)-MIN(C$2:C$301)&lt;0.000000001,0.5,(C227-MIN(C$2:C$301))/(MAX(C$2:C$301)-MIN(C$2:C$301)))+0.000000001)</f>
        <v/>
      </c>
      <c r="K227">
        <f>IF(Datos!A227="","",IF(MAX(D$2:D$301)-MIN(D$2:D$301)&lt;0.000000001,0.5,(D227-MIN(D$2:D$301))/(MAX(D$2:D$301)-MIN(D$2:D$301)))+0.000000001)</f>
        <v/>
      </c>
      <c r="L227">
        <f>IF(Datos!A227="","",IF(MAX(E$2:E$301)-MIN(E$2:E$301)&lt;0.000000001,0.5,(E227-MIN(E$2:E$301))/(MAX(E$2:E$301)-MIN(E$2:E$301)))+0.000000001)</f>
        <v/>
      </c>
      <c r="M227">
        <f>IF(Datos!A227="","",IF(MAX(F$2:F$301)-MIN(F$2:F$301)&lt;0.000000001,0.5,(F227-MIN(F$2:F$301))/(MAX(F$2:F$301)-MIN(F$2:F$301)))+0.000000001)</f>
        <v/>
      </c>
      <c r="N227">
        <f>IF(Datos!A227="","",IF(MAX(G$2:G$301)-MIN(G$2:G$301)&lt;0.000000001,0.5,(G227-MIN(G$2:G$301))/(MAX(G$2:G$301)-MIN(G$2:G$301)))+0.000000001)</f>
        <v/>
      </c>
      <c r="O227">
        <f>IF(Datos!A227="","",IF(MAX(H$2:H$301)-MIN(H$2:H$301)&lt;0.000000001,0.5,(H227-MIN(H$2:H$301))/(MAX(H$2:H$301)-MIN(H$2:H$301)))+0.000000001)</f>
        <v/>
      </c>
      <c r="Q227">
        <f>IF(Datos!A227="","",(J227/SUM(J$2:J$301))*LN(J227/SUM(J$2:J$301)))</f>
        <v/>
      </c>
      <c r="R227">
        <f>IF(Datos!A227="","",(K227/SUM(K$2:K$301))*LN(K227/SUM(K$2:K$301)))</f>
        <v/>
      </c>
      <c r="S227">
        <f>IF(Datos!A227="","",(L227/SUM(L$2:L$301))*LN(L227/SUM(L$2:L$301)))</f>
        <v/>
      </c>
      <c r="T227">
        <f>IF(Datos!A227="","",(M227/SUM(M$2:M$301))*LN(M227/SUM(M$2:M$301)))</f>
        <v/>
      </c>
      <c r="U227">
        <f>IF(Datos!A227="","",(N227/SUM(N$2:N$301))*LN(N227/SUM(N$2:N$301)))</f>
        <v/>
      </c>
      <c r="V227">
        <f>IF(Datos!A227="","",(O227/SUM(O$2:O$301))*LN(O227/SUM(O$2:O$301)))</f>
        <v/>
      </c>
      <c r="X227">
        <f>IF(Datos!A227="","",IF(SUMSQ(C$2:C$301)=0,0,C227/SQRT(SUMSQ(C$2:C$301)))*$BE$2)</f>
        <v/>
      </c>
      <c r="Y227">
        <f>IF(Datos!A227="","",IF(SUMSQ(D$2:D$301)=0,0,D227/SQRT(SUMSQ(D$2:D$301)))*$BE$3)</f>
        <v/>
      </c>
      <c r="Z227">
        <f>IF(Datos!A227="","",IF(SUMSQ(E$2:E$301)=0,0,E227/SQRT(SUMSQ(E$2:E$301)))*$BE$4)</f>
        <v/>
      </c>
      <c r="AA227">
        <f>IF(Datos!A227="","",IF(SUMSQ(F$2:F$301)=0,0,F227/SQRT(SUMSQ(F$2:F$301)))*$BE$5)</f>
        <v/>
      </c>
      <c r="AB227">
        <f>IF(Datos!A227="","",IF(SUMSQ(G$2:G$301)=0,0,G227/SQRT(SUMSQ(G$2:G$301)))*$BE$6)</f>
        <v/>
      </c>
      <c r="AC227">
        <f>IF(Datos!A227="","",IF(SUMSQ(H$2:H$301)=0,0,H227/SQRT(SUMSQ(H$2:H$301)))*$BE$7)</f>
        <v/>
      </c>
      <c r="AE227">
        <f>IF(Datos!A227="","",SQRT(SUMXMY2(X227:AC227,$X$303:$AC$303)))</f>
        <v/>
      </c>
      <c r="AF227">
        <f>IF(Datos!A227="","",SQRT(SUMXMY2(X227:AC227,$X$304:$AC$304)))</f>
        <v/>
      </c>
      <c r="AG227" s="11">
        <f>IF(Datos!A227="","",IF(AE227+AF227&lt;0.000000001,0.5,AF227/(AE227+AF227)))</f>
        <v/>
      </c>
      <c r="AH227">
        <f>IF(Datos!A227="","",AG227*MAX(C227*D227,1))</f>
        <v/>
      </c>
      <c r="AI227">
        <f>IF(Datos!A227="","",SUMIF($AH$2:$AH$301,"&gt;="&amp;AH227,$AH$2:$AH$301)/SUM($AH$2:$AH$301))</f>
        <v/>
      </c>
      <c r="AJ227" s="12">
        <f>IF(Datos!A227="","",IF(AI227&lt;=Parametros!$B$13,"A",IF(AI227&lt;=Parametros!$B$14,"B","C")))</f>
        <v/>
      </c>
      <c r="AK227" s="13">
        <f>IF(Datos!A227="","",VLOOKUP(AJ227,Parametros!$A$8:$C$10,2,FALSE))</f>
        <v/>
      </c>
      <c r="AL227">
        <f>IF(Datos!A227="","",VLOOKUP(AJ227,Parametros!$A$8:$C$10,3,FALSE))</f>
        <v/>
      </c>
      <c r="AM227">
        <f>IF(Datos!A227="","",NORMSINV(AK227))</f>
        <v/>
      </c>
      <c r="AN227">
        <f>IF(Datos!A227="","",D227/Parametros!$B$4)</f>
        <v/>
      </c>
      <c r="AO227">
        <f>IF(Datos!A227="","",MAX(0,ROUNDUP(AM227*(AN227*Parametros!$B$3)*SQRT((AL227+E227)),0)))</f>
        <v/>
      </c>
      <c r="AP227">
        <f>IF(Datos!A227="","",MAX(1,ROUNDUP(AN227*(AL227+E227)+AM227*(AN227*Parametros!$B$3)*SQRT((AL227+E227)),0)))</f>
        <v/>
      </c>
      <c r="AQ227">
        <f>IF(Datos!A227="","",IF(Datos!J227="","",Datos!J227))</f>
        <v/>
      </c>
      <c r="AR227">
        <f>IF(OR(Datos!A227="",AQ227=""),"",MAX(0,AQ227-AP227))</f>
        <v/>
      </c>
      <c r="AS227" s="10">
        <f>IF(OR(Datos!A227="",AQ227=""),"",AR227*C227)</f>
        <v/>
      </c>
      <c r="AT227" s="12">
        <f>IF(OR(Datos!A227="",AQ227=""),"",IF(AQ227&lt;AO227,"SI",""))</f>
        <v/>
      </c>
      <c r="AU227">
        <f>IF(Datos!A227="","",IF(AT227="SI","Reponer ahora",IF(AND(AQ227&lt;&gt;"",AR227&gt;0),"Bajar "&amp;TEXT(AR227,"#,##0")&amp;" un.","En rango")))</f>
        <v/>
      </c>
    </row>
    <row r="228">
      <c r="A228">
        <f>IF(Datos!A228="","",Datos!A228)</f>
        <v/>
      </c>
      <c r="B228">
        <f>IF(Datos!A228="","",Datos!B228)</f>
        <v/>
      </c>
      <c r="C228">
        <f>IF(Datos!A228="","",IFERROR(MAX(0,N(Datos!D228)),0))</f>
        <v/>
      </c>
      <c r="D228">
        <f>IF(Datos!A228="","",IFERROR(MAX(0,N(Datos!E228)),0))</f>
        <v/>
      </c>
      <c r="E228">
        <f>IF(Datos!A228="","",IFERROR(MAX(0,N(Datos!F228)),0))</f>
        <v/>
      </c>
      <c r="F228">
        <f>IF(Datos!A228="","",IFERROR(MAX(0,N(Datos!G228)),0))</f>
        <v/>
      </c>
      <c r="G228">
        <f>IF(Datos!A228="","",IFERROR(MAX(0,N(Datos!H228)),0))</f>
        <v/>
      </c>
      <c r="H228">
        <f>IF(Datos!A228="","",IFERROR(MAX(0,N(Datos!I228)),0))</f>
        <v/>
      </c>
      <c r="J228">
        <f>IF(Datos!A228="","",IF(MAX(C$2:C$301)-MIN(C$2:C$301)&lt;0.000000001,0.5,(C228-MIN(C$2:C$301))/(MAX(C$2:C$301)-MIN(C$2:C$301)))+0.000000001)</f>
        <v/>
      </c>
      <c r="K228">
        <f>IF(Datos!A228="","",IF(MAX(D$2:D$301)-MIN(D$2:D$301)&lt;0.000000001,0.5,(D228-MIN(D$2:D$301))/(MAX(D$2:D$301)-MIN(D$2:D$301)))+0.000000001)</f>
        <v/>
      </c>
      <c r="L228">
        <f>IF(Datos!A228="","",IF(MAX(E$2:E$301)-MIN(E$2:E$301)&lt;0.000000001,0.5,(E228-MIN(E$2:E$301))/(MAX(E$2:E$301)-MIN(E$2:E$301)))+0.000000001)</f>
        <v/>
      </c>
      <c r="M228">
        <f>IF(Datos!A228="","",IF(MAX(F$2:F$301)-MIN(F$2:F$301)&lt;0.000000001,0.5,(F228-MIN(F$2:F$301))/(MAX(F$2:F$301)-MIN(F$2:F$301)))+0.000000001)</f>
        <v/>
      </c>
      <c r="N228">
        <f>IF(Datos!A228="","",IF(MAX(G$2:G$301)-MIN(G$2:G$301)&lt;0.000000001,0.5,(G228-MIN(G$2:G$301))/(MAX(G$2:G$301)-MIN(G$2:G$301)))+0.000000001)</f>
        <v/>
      </c>
      <c r="O228">
        <f>IF(Datos!A228="","",IF(MAX(H$2:H$301)-MIN(H$2:H$301)&lt;0.000000001,0.5,(H228-MIN(H$2:H$301))/(MAX(H$2:H$301)-MIN(H$2:H$301)))+0.000000001)</f>
        <v/>
      </c>
      <c r="Q228">
        <f>IF(Datos!A228="","",(J228/SUM(J$2:J$301))*LN(J228/SUM(J$2:J$301)))</f>
        <v/>
      </c>
      <c r="R228">
        <f>IF(Datos!A228="","",(K228/SUM(K$2:K$301))*LN(K228/SUM(K$2:K$301)))</f>
        <v/>
      </c>
      <c r="S228">
        <f>IF(Datos!A228="","",(L228/SUM(L$2:L$301))*LN(L228/SUM(L$2:L$301)))</f>
        <v/>
      </c>
      <c r="T228">
        <f>IF(Datos!A228="","",(M228/SUM(M$2:M$301))*LN(M228/SUM(M$2:M$301)))</f>
        <v/>
      </c>
      <c r="U228">
        <f>IF(Datos!A228="","",(N228/SUM(N$2:N$301))*LN(N228/SUM(N$2:N$301)))</f>
        <v/>
      </c>
      <c r="V228">
        <f>IF(Datos!A228="","",(O228/SUM(O$2:O$301))*LN(O228/SUM(O$2:O$301)))</f>
        <v/>
      </c>
      <c r="X228">
        <f>IF(Datos!A228="","",IF(SUMSQ(C$2:C$301)=0,0,C228/SQRT(SUMSQ(C$2:C$301)))*$BE$2)</f>
        <v/>
      </c>
      <c r="Y228">
        <f>IF(Datos!A228="","",IF(SUMSQ(D$2:D$301)=0,0,D228/SQRT(SUMSQ(D$2:D$301)))*$BE$3)</f>
        <v/>
      </c>
      <c r="Z228">
        <f>IF(Datos!A228="","",IF(SUMSQ(E$2:E$301)=0,0,E228/SQRT(SUMSQ(E$2:E$301)))*$BE$4)</f>
        <v/>
      </c>
      <c r="AA228">
        <f>IF(Datos!A228="","",IF(SUMSQ(F$2:F$301)=0,0,F228/SQRT(SUMSQ(F$2:F$301)))*$BE$5)</f>
        <v/>
      </c>
      <c r="AB228">
        <f>IF(Datos!A228="","",IF(SUMSQ(G$2:G$301)=0,0,G228/SQRT(SUMSQ(G$2:G$301)))*$BE$6)</f>
        <v/>
      </c>
      <c r="AC228">
        <f>IF(Datos!A228="","",IF(SUMSQ(H$2:H$301)=0,0,H228/SQRT(SUMSQ(H$2:H$301)))*$BE$7)</f>
        <v/>
      </c>
      <c r="AE228">
        <f>IF(Datos!A228="","",SQRT(SUMXMY2(X228:AC228,$X$303:$AC$303)))</f>
        <v/>
      </c>
      <c r="AF228">
        <f>IF(Datos!A228="","",SQRT(SUMXMY2(X228:AC228,$X$304:$AC$304)))</f>
        <v/>
      </c>
      <c r="AG228" s="11">
        <f>IF(Datos!A228="","",IF(AE228+AF228&lt;0.000000001,0.5,AF228/(AE228+AF228)))</f>
        <v/>
      </c>
      <c r="AH228">
        <f>IF(Datos!A228="","",AG228*MAX(C228*D228,1))</f>
        <v/>
      </c>
      <c r="AI228">
        <f>IF(Datos!A228="","",SUMIF($AH$2:$AH$301,"&gt;="&amp;AH228,$AH$2:$AH$301)/SUM($AH$2:$AH$301))</f>
        <v/>
      </c>
      <c r="AJ228" s="12">
        <f>IF(Datos!A228="","",IF(AI228&lt;=Parametros!$B$13,"A",IF(AI228&lt;=Parametros!$B$14,"B","C")))</f>
        <v/>
      </c>
      <c r="AK228" s="13">
        <f>IF(Datos!A228="","",VLOOKUP(AJ228,Parametros!$A$8:$C$10,2,FALSE))</f>
        <v/>
      </c>
      <c r="AL228">
        <f>IF(Datos!A228="","",VLOOKUP(AJ228,Parametros!$A$8:$C$10,3,FALSE))</f>
        <v/>
      </c>
      <c r="AM228">
        <f>IF(Datos!A228="","",NORMSINV(AK228))</f>
        <v/>
      </c>
      <c r="AN228">
        <f>IF(Datos!A228="","",D228/Parametros!$B$4)</f>
        <v/>
      </c>
      <c r="AO228">
        <f>IF(Datos!A228="","",MAX(0,ROUNDUP(AM228*(AN228*Parametros!$B$3)*SQRT((AL228+E228)),0)))</f>
        <v/>
      </c>
      <c r="AP228">
        <f>IF(Datos!A228="","",MAX(1,ROUNDUP(AN228*(AL228+E228)+AM228*(AN228*Parametros!$B$3)*SQRT((AL228+E228)),0)))</f>
        <v/>
      </c>
      <c r="AQ228">
        <f>IF(Datos!A228="","",IF(Datos!J228="","",Datos!J228))</f>
        <v/>
      </c>
      <c r="AR228">
        <f>IF(OR(Datos!A228="",AQ228=""),"",MAX(0,AQ228-AP228))</f>
        <v/>
      </c>
      <c r="AS228" s="10">
        <f>IF(OR(Datos!A228="",AQ228=""),"",AR228*C228)</f>
        <v/>
      </c>
      <c r="AT228" s="12">
        <f>IF(OR(Datos!A228="",AQ228=""),"",IF(AQ228&lt;AO228,"SI",""))</f>
        <v/>
      </c>
      <c r="AU228">
        <f>IF(Datos!A228="","",IF(AT228="SI","Reponer ahora",IF(AND(AQ228&lt;&gt;"",AR228&gt;0),"Bajar "&amp;TEXT(AR228,"#,##0")&amp;" un.","En rango")))</f>
        <v/>
      </c>
    </row>
    <row r="229">
      <c r="A229">
        <f>IF(Datos!A229="","",Datos!A229)</f>
        <v/>
      </c>
      <c r="B229">
        <f>IF(Datos!A229="","",Datos!B229)</f>
        <v/>
      </c>
      <c r="C229">
        <f>IF(Datos!A229="","",IFERROR(MAX(0,N(Datos!D229)),0))</f>
        <v/>
      </c>
      <c r="D229">
        <f>IF(Datos!A229="","",IFERROR(MAX(0,N(Datos!E229)),0))</f>
        <v/>
      </c>
      <c r="E229">
        <f>IF(Datos!A229="","",IFERROR(MAX(0,N(Datos!F229)),0))</f>
        <v/>
      </c>
      <c r="F229">
        <f>IF(Datos!A229="","",IFERROR(MAX(0,N(Datos!G229)),0))</f>
        <v/>
      </c>
      <c r="G229">
        <f>IF(Datos!A229="","",IFERROR(MAX(0,N(Datos!H229)),0))</f>
        <v/>
      </c>
      <c r="H229">
        <f>IF(Datos!A229="","",IFERROR(MAX(0,N(Datos!I229)),0))</f>
        <v/>
      </c>
      <c r="J229">
        <f>IF(Datos!A229="","",IF(MAX(C$2:C$301)-MIN(C$2:C$301)&lt;0.000000001,0.5,(C229-MIN(C$2:C$301))/(MAX(C$2:C$301)-MIN(C$2:C$301)))+0.000000001)</f>
        <v/>
      </c>
      <c r="K229">
        <f>IF(Datos!A229="","",IF(MAX(D$2:D$301)-MIN(D$2:D$301)&lt;0.000000001,0.5,(D229-MIN(D$2:D$301))/(MAX(D$2:D$301)-MIN(D$2:D$301)))+0.000000001)</f>
        <v/>
      </c>
      <c r="L229">
        <f>IF(Datos!A229="","",IF(MAX(E$2:E$301)-MIN(E$2:E$301)&lt;0.000000001,0.5,(E229-MIN(E$2:E$301))/(MAX(E$2:E$301)-MIN(E$2:E$301)))+0.000000001)</f>
        <v/>
      </c>
      <c r="M229">
        <f>IF(Datos!A229="","",IF(MAX(F$2:F$301)-MIN(F$2:F$301)&lt;0.000000001,0.5,(F229-MIN(F$2:F$301))/(MAX(F$2:F$301)-MIN(F$2:F$301)))+0.000000001)</f>
        <v/>
      </c>
      <c r="N229">
        <f>IF(Datos!A229="","",IF(MAX(G$2:G$301)-MIN(G$2:G$301)&lt;0.000000001,0.5,(G229-MIN(G$2:G$301))/(MAX(G$2:G$301)-MIN(G$2:G$301)))+0.000000001)</f>
        <v/>
      </c>
      <c r="O229">
        <f>IF(Datos!A229="","",IF(MAX(H$2:H$301)-MIN(H$2:H$301)&lt;0.000000001,0.5,(H229-MIN(H$2:H$301))/(MAX(H$2:H$301)-MIN(H$2:H$301)))+0.000000001)</f>
        <v/>
      </c>
      <c r="Q229">
        <f>IF(Datos!A229="","",(J229/SUM(J$2:J$301))*LN(J229/SUM(J$2:J$301)))</f>
        <v/>
      </c>
      <c r="R229">
        <f>IF(Datos!A229="","",(K229/SUM(K$2:K$301))*LN(K229/SUM(K$2:K$301)))</f>
        <v/>
      </c>
      <c r="S229">
        <f>IF(Datos!A229="","",(L229/SUM(L$2:L$301))*LN(L229/SUM(L$2:L$301)))</f>
        <v/>
      </c>
      <c r="T229">
        <f>IF(Datos!A229="","",(M229/SUM(M$2:M$301))*LN(M229/SUM(M$2:M$301)))</f>
        <v/>
      </c>
      <c r="U229">
        <f>IF(Datos!A229="","",(N229/SUM(N$2:N$301))*LN(N229/SUM(N$2:N$301)))</f>
        <v/>
      </c>
      <c r="V229">
        <f>IF(Datos!A229="","",(O229/SUM(O$2:O$301))*LN(O229/SUM(O$2:O$301)))</f>
        <v/>
      </c>
      <c r="X229">
        <f>IF(Datos!A229="","",IF(SUMSQ(C$2:C$301)=0,0,C229/SQRT(SUMSQ(C$2:C$301)))*$BE$2)</f>
        <v/>
      </c>
      <c r="Y229">
        <f>IF(Datos!A229="","",IF(SUMSQ(D$2:D$301)=0,0,D229/SQRT(SUMSQ(D$2:D$301)))*$BE$3)</f>
        <v/>
      </c>
      <c r="Z229">
        <f>IF(Datos!A229="","",IF(SUMSQ(E$2:E$301)=0,0,E229/SQRT(SUMSQ(E$2:E$301)))*$BE$4)</f>
        <v/>
      </c>
      <c r="AA229">
        <f>IF(Datos!A229="","",IF(SUMSQ(F$2:F$301)=0,0,F229/SQRT(SUMSQ(F$2:F$301)))*$BE$5)</f>
        <v/>
      </c>
      <c r="AB229">
        <f>IF(Datos!A229="","",IF(SUMSQ(G$2:G$301)=0,0,G229/SQRT(SUMSQ(G$2:G$301)))*$BE$6)</f>
        <v/>
      </c>
      <c r="AC229">
        <f>IF(Datos!A229="","",IF(SUMSQ(H$2:H$301)=0,0,H229/SQRT(SUMSQ(H$2:H$301)))*$BE$7)</f>
        <v/>
      </c>
      <c r="AE229">
        <f>IF(Datos!A229="","",SQRT(SUMXMY2(X229:AC229,$X$303:$AC$303)))</f>
        <v/>
      </c>
      <c r="AF229">
        <f>IF(Datos!A229="","",SQRT(SUMXMY2(X229:AC229,$X$304:$AC$304)))</f>
        <v/>
      </c>
      <c r="AG229" s="11">
        <f>IF(Datos!A229="","",IF(AE229+AF229&lt;0.000000001,0.5,AF229/(AE229+AF229)))</f>
        <v/>
      </c>
      <c r="AH229">
        <f>IF(Datos!A229="","",AG229*MAX(C229*D229,1))</f>
        <v/>
      </c>
      <c r="AI229">
        <f>IF(Datos!A229="","",SUMIF($AH$2:$AH$301,"&gt;="&amp;AH229,$AH$2:$AH$301)/SUM($AH$2:$AH$301))</f>
        <v/>
      </c>
      <c r="AJ229" s="12">
        <f>IF(Datos!A229="","",IF(AI229&lt;=Parametros!$B$13,"A",IF(AI229&lt;=Parametros!$B$14,"B","C")))</f>
        <v/>
      </c>
      <c r="AK229" s="13">
        <f>IF(Datos!A229="","",VLOOKUP(AJ229,Parametros!$A$8:$C$10,2,FALSE))</f>
        <v/>
      </c>
      <c r="AL229">
        <f>IF(Datos!A229="","",VLOOKUP(AJ229,Parametros!$A$8:$C$10,3,FALSE))</f>
        <v/>
      </c>
      <c r="AM229">
        <f>IF(Datos!A229="","",NORMSINV(AK229))</f>
        <v/>
      </c>
      <c r="AN229">
        <f>IF(Datos!A229="","",D229/Parametros!$B$4)</f>
        <v/>
      </c>
      <c r="AO229">
        <f>IF(Datos!A229="","",MAX(0,ROUNDUP(AM229*(AN229*Parametros!$B$3)*SQRT((AL229+E229)),0)))</f>
        <v/>
      </c>
      <c r="AP229">
        <f>IF(Datos!A229="","",MAX(1,ROUNDUP(AN229*(AL229+E229)+AM229*(AN229*Parametros!$B$3)*SQRT((AL229+E229)),0)))</f>
        <v/>
      </c>
      <c r="AQ229">
        <f>IF(Datos!A229="","",IF(Datos!J229="","",Datos!J229))</f>
        <v/>
      </c>
      <c r="AR229">
        <f>IF(OR(Datos!A229="",AQ229=""),"",MAX(0,AQ229-AP229))</f>
        <v/>
      </c>
      <c r="AS229" s="10">
        <f>IF(OR(Datos!A229="",AQ229=""),"",AR229*C229)</f>
        <v/>
      </c>
      <c r="AT229" s="12">
        <f>IF(OR(Datos!A229="",AQ229=""),"",IF(AQ229&lt;AO229,"SI",""))</f>
        <v/>
      </c>
      <c r="AU229">
        <f>IF(Datos!A229="","",IF(AT229="SI","Reponer ahora",IF(AND(AQ229&lt;&gt;"",AR229&gt;0),"Bajar "&amp;TEXT(AR229,"#,##0")&amp;" un.","En rango")))</f>
        <v/>
      </c>
    </row>
    <row r="230">
      <c r="A230">
        <f>IF(Datos!A230="","",Datos!A230)</f>
        <v/>
      </c>
      <c r="B230">
        <f>IF(Datos!A230="","",Datos!B230)</f>
        <v/>
      </c>
      <c r="C230">
        <f>IF(Datos!A230="","",IFERROR(MAX(0,N(Datos!D230)),0))</f>
        <v/>
      </c>
      <c r="D230">
        <f>IF(Datos!A230="","",IFERROR(MAX(0,N(Datos!E230)),0))</f>
        <v/>
      </c>
      <c r="E230">
        <f>IF(Datos!A230="","",IFERROR(MAX(0,N(Datos!F230)),0))</f>
        <v/>
      </c>
      <c r="F230">
        <f>IF(Datos!A230="","",IFERROR(MAX(0,N(Datos!G230)),0))</f>
        <v/>
      </c>
      <c r="G230">
        <f>IF(Datos!A230="","",IFERROR(MAX(0,N(Datos!H230)),0))</f>
        <v/>
      </c>
      <c r="H230">
        <f>IF(Datos!A230="","",IFERROR(MAX(0,N(Datos!I230)),0))</f>
        <v/>
      </c>
      <c r="J230">
        <f>IF(Datos!A230="","",IF(MAX(C$2:C$301)-MIN(C$2:C$301)&lt;0.000000001,0.5,(C230-MIN(C$2:C$301))/(MAX(C$2:C$301)-MIN(C$2:C$301)))+0.000000001)</f>
        <v/>
      </c>
      <c r="K230">
        <f>IF(Datos!A230="","",IF(MAX(D$2:D$301)-MIN(D$2:D$301)&lt;0.000000001,0.5,(D230-MIN(D$2:D$301))/(MAX(D$2:D$301)-MIN(D$2:D$301)))+0.000000001)</f>
        <v/>
      </c>
      <c r="L230">
        <f>IF(Datos!A230="","",IF(MAX(E$2:E$301)-MIN(E$2:E$301)&lt;0.000000001,0.5,(E230-MIN(E$2:E$301))/(MAX(E$2:E$301)-MIN(E$2:E$301)))+0.000000001)</f>
        <v/>
      </c>
      <c r="M230">
        <f>IF(Datos!A230="","",IF(MAX(F$2:F$301)-MIN(F$2:F$301)&lt;0.000000001,0.5,(F230-MIN(F$2:F$301))/(MAX(F$2:F$301)-MIN(F$2:F$301)))+0.000000001)</f>
        <v/>
      </c>
      <c r="N230">
        <f>IF(Datos!A230="","",IF(MAX(G$2:G$301)-MIN(G$2:G$301)&lt;0.000000001,0.5,(G230-MIN(G$2:G$301))/(MAX(G$2:G$301)-MIN(G$2:G$301)))+0.000000001)</f>
        <v/>
      </c>
      <c r="O230">
        <f>IF(Datos!A230="","",IF(MAX(H$2:H$301)-MIN(H$2:H$301)&lt;0.000000001,0.5,(H230-MIN(H$2:H$301))/(MAX(H$2:H$301)-MIN(H$2:H$301)))+0.000000001)</f>
        <v/>
      </c>
      <c r="Q230">
        <f>IF(Datos!A230="","",(J230/SUM(J$2:J$301))*LN(J230/SUM(J$2:J$301)))</f>
        <v/>
      </c>
      <c r="R230">
        <f>IF(Datos!A230="","",(K230/SUM(K$2:K$301))*LN(K230/SUM(K$2:K$301)))</f>
        <v/>
      </c>
      <c r="S230">
        <f>IF(Datos!A230="","",(L230/SUM(L$2:L$301))*LN(L230/SUM(L$2:L$301)))</f>
        <v/>
      </c>
      <c r="T230">
        <f>IF(Datos!A230="","",(M230/SUM(M$2:M$301))*LN(M230/SUM(M$2:M$301)))</f>
        <v/>
      </c>
      <c r="U230">
        <f>IF(Datos!A230="","",(N230/SUM(N$2:N$301))*LN(N230/SUM(N$2:N$301)))</f>
        <v/>
      </c>
      <c r="V230">
        <f>IF(Datos!A230="","",(O230/SUM(O$2:O$301))*LN(O230/SUM(O$2:O$301)))</f>
        <v/>
      </c>
      <c r="X230">
        <f>IF(Datos!A230="","",IF(SUMSQ(C$2:C$301)=0,0,C230/SQRT(SUMSQ(C$2:C$301)))*$BE$2)</f>
        <v/>
      </c>
      <c r="Y230">
        <f>IF(Datos!A230="","",IF(SUMSQ(D$2:D$301)=0,0,D230/SQRT(SUMSQ(D$2:D$301)))*$BE$3)</f>
        <v/>
      </c>
      <c r="Z230">
        <f>IF(Datos!A230="","",IF(SUMSQ(E$2:E$301)=0,0,E230/SQRT(SUMSQ(E$2:E$301)))*$BE$4)</f>
        <v/>
      </c>
      <c r="AA230">
        <f>IF(Datos!A230="","",IF(SUMSQ(F$2:F$301)=0,0,F230/SQRT(SUMSQ(F$2:F$301)))*$BE$5)</f>
        <v/>
      </c>
      <c r="AB230">
        <f>IF(Datos!A230="","",IF(SUMSQ(G$2:G$301)=0,0,G230/SQRT(SUMSQ(G$2:G$301)))*$BE$6)</f>
        <v/>
      </c>
      <c r="AC230">
        <f>IF(Datos!A230="","",IF(SUMSQ(H$2:H$301)=0,0,H230/SQRT(SUMSQ(H$2:H$301)))*$BE$7)</f>
        <v/>
      </c>
      <c r="AE230">
        <f>IF(Datos!A230="","",SQRT(SUMXMY2(X230:AC230,$X$303:$AC$303)))</f>
        <v/>
      </c>
      <c r="AF230">
        <f>IF(Datos!A230="","",SQRT(SUMXMY2(X230:AC230,$X$304:$AC$304)))</f>
        <v/>
      </c>
      <c r="AG230" s="11">
        <f>IF(Datos!A230="","",IF(AE230+AF230&lt;0.000000001,0.5,AF230/(AE230+AF230)))</f>
        <v/>
      </c>
      <c r="AH230">
        <f>IF(Datos!A230="","",AG230*MAX(C230*D230,1))</f>
        <v/>
      </c>
      <c r="AI230">
        <f>IF(Datos!A230="","",SUMIF($AH$2:$AH$301,"&gt;="&amp;AH230,$AH$2:$AH$301)/SUM($AH$2:$AH$301))</f>
        <v/>
      </c>
      <c r="AJ230" s="12">
        <f>IF(Datos!A230="","",IF(AI230&lt;=Parametros!$B$13,"A",IF(AI230&lt;=Parametros!$B$14,"B","C")))</f>
        <v/>
      </c>
      <c r="AK230" s="13">
        <f>IF(Datos!A230="","",VLOOKUP(AJ230,Parametros!$A$8:$C$10,2,FALSE))</f>
        <v/>
      </c>
      <c r="AL230">
        <f>IF(Datos!A230="","",VLOOKUP(AJ230,Parametros!$A$8:$C$10,3,FALSE))</f>
        <v/>
      </c>
      <c r="AM230">
        <f>IF(Datos!A230="","",NORMSINV(AK230))</f>
        <v/>
      </c>
      <c r="AN230">
        <f>IF(Datos!A230="","",D230/Parametros!$B$4)</f>
        <v/>
      </c>
      <c r="AO230">
        <f>IF(Datos!A230="","",MAX(0,ROUNDUP(AM230*(AN230*Parametros!$B$3)*SQRT((AL230+E230)),0)))</f>
        <v/>
      </c>
      <c r="AP230">
        <f>IF(Datos!A230="","",MAX(1,ROUNDUP(AN230*(AL230+E230)+AM230*(AN230*Parametros!$B$3)*SQRT((AL230+E230)),0)))</f>
        <v/>
      </c>
      <c r="AQ230">
        <f>IF(Datos!A230="","",IF(Datos!J230="","",Datos!J230))</f>
        <v/>
      </c>
      <c r="AR230">
        <f>IF(OR(Datos!A230="",AQ230=""),"",MAX(0,AQ230-AP230))</f>
        <v/>
      </c>
      <c r="AS230" s="10">
        <f>IF(OR(Datos!A230="",AQ230=""),"",AR230*C230)</f>
        <v/>
      </c>
      <c r="AT230" s="12">
        <f>IF(OR(Datos!A230="",AQ230=""),"",IF(AQ230&lt;AO230,"SI",""))</f>
        <v/>
      </c>
      <c r="AU230">
        <f>IF(Datos!A230="","",IF(AT230="SI","Reponer ahora",IF(AND(AQ230&lt;&gt;"",AR230&gt;0),"Bajar "&amp;TEXT(AR230,"#,##0")&amp;" un.","En rango")))</f>
        <v/>
      </c>
    </row>
    <row r="231">
      <c r="A231">
        <f>IF(Datos!A231="","",Datos!A231)</f>
        <v/>
      </c>
      <c r="B231">
        <f>IF(Datos!A231="","",Datos!B231)</f>
        <v/>
      </c>
      <c r="C231">
        <f>IF(Datos!A231="","",IFERROR(MAX(0,N(Datos!D231)),0))</f>
        <v/>
      </c>
      <c r="D231">
        <f>IF(Datos!A231="","",IFERROR(MAX(0,N(Datos!E231)),0))</f>
        <v/>
      </c>
      <c r="E231">
        <f>IF(Datos!A231="","",IFERROR(MAX(0,N(Datos!F231)),0))</f>
        <v/>
      </c>
      <c r="F231">
        <f>IF(Datos!A231="","",IFERROR(MAX(0,N(Datos!G231)),0))</f>
        <v/>
      </c>
      <c r="G231">
        <f>IF(Datos!A231="","",IFERROR(MAX(0,N(Datos!H231)),0))</f>
        <v/>
      </c>
      <c r="H231">
        <f>IF(Datos!A231="","",IFERROR(MAX(0,N(Datos!I231)),0))</f>
        <v/>
      </c>
      <c r="J231">
        <f>IF(Datos!A231="","",IF(MAX(C$2:C$301)-MIN(C$2:C$301)&lt;0.000000001,0.5,(C231-MIN(C$2:C$301))/(MAX(C$2:C$301)-MIN(C$2:C$301)))+0.000000001)</f>
        <v/>
      </c>
      <c r="K231">
        <f>IF(Datos!A231="","",IF(MAX(D$2:D$301)-MIN(D$2:D$301)&lt;0.000000001,0.5,(D231-MIN(D$2:D$301))/(MAX(D$2:D$301)-MIN(D$2:D$301)))+0.000000001)</f>
        <v/>
      </c>
      <c r="L231">
        <f>IF(Datos!A231="","",IF(MAX(E$2:E$301)-MIN(E$2:E$301)&lt;0.000000001,0.5,(E231-MIN(E$2:E$301))/(MAX(E$2:E$301)-MIN(E$2:E$301)))+0.000000001)</f>
        <v/>
      </c>
      <c r="M231">
        <f>IF(Datos!A231="","",IF(MAX(F$2:F$301)-MIN(F$2:F$301)&lt;0.000000001,0.5,(F231-MIN(F$2:F$301))/(MAX(F$2:F$301)-MIN(F$2:F$301)))+0.000000001)</f>
        <v/>
      </c>
      <c r="N231">
        <f>IF(Datos!A231="","",IF(MAX(G$2:G$301)-MIN(G$2:G$301)&lt;0.000000001,0.5,(G231-MIN(G$2:G$301))/(MAX(G$2:G$301)-MIN(G$2:G$301)))+0.000000001)</f>
        <v/>
      </c>
      <c r="O231">
        <f>IF(Datos!A231="","",IF(MAX(H$2:H$301)-MIN(H$2:H$301)&lt;0.000000001,0.5,(H231-MIN(H$2:H$301))/(MAX(H$2:H$301)-MIN(H$2:H$301)))+0.000000001)</f>
        <v/>
      </c>
      <c r="Q231">
        <f>IF(Datos!A231="","",(J231/SUM(J$2:J$301))*LN(J231/SUM(J$2:J$301)))</f>
        <v/>
      </c>
      <c r="R231">
        <f>IF(Datos!A231="","",(K231/SUM(K$2:K$301))*LN(K231/SUM(K$2:K$301)))</f>
        <v/>
      </c>
      <c r="S231">
        <f>IF(Datos!A231="","",(L231/SUM(L$2:L$301))*LN(L231/SUM(L$2:L$301)))</f>
        <v/>
      </c>
      <c r="T231">
        <f>IF(Datos!A231="","",(M231/SUM(M$2:M$301))*LN(M231/SUM(M$2:M$301)))</f>
        <v/>
      </c>
      <c r="U231">
        <f>IF(Datos!A231="","",(N231/SUM(N$2:N$301))*LN(N231/SUM(N$2:N$301)))</f>
        <v/>
      </c>
      <c r="V231">
        <f>IF(Datos!A231="","",(O231/SUM(O$2:O$301))*LN(O231/SUM(O$2:O$301)))</f>
        <v/>
      </c>
      <c r="X231">
        <f>IF(Datos!A231="","",IF(SUMSQ(C$2:C$301)=0,0,C231/SQRT(SUMSQ(C$2:C$301)))*$BE$2)</f>
        <v/>
      </c>
      <c r="Y231">
        <f>IF(Datos!A231="","",IF(SUMSQ(D$2:D$301)=0,0,D231/SQRT(SUMSQ(D$2:D$301)))*$BE$3)</f>
        <v/>
      </c>
      <c r="Z231">
        <f>IF(Datos!A231="","",IF(SUMSQ(E$2:E$301)=0,0,E231/SQRT(SUMSQ(E$2:E$301)))*$BE$4)</f>
        <v/>
      </c>
      <c r="AA231">
        <f>IF(Datos!A231="","",IF(SUMSQ(F$2:F$301)=0,0,F231/SQRT(SUMSQ(F$2:F$301)))*$BE$5)</f>
        <v/>
      </c>
      <c r="AB231">
        <f>IF(Datos!A231="","",IF(SUMSQ(G$2:G$301)=0,0,G231/SQRT(SUMSQ(G$2:G$301)))*$BE$6)</f>
        <v/>
      </c>
      <c r="AC231">
        <f>IF(Datos!A231="","",IF(SUMSQ(H$2:H$301)=0,0,H231/SQRT(SUMSQ(H$2:H$301)))*$BE$7)</f>
        <v/>
      </c>
      <c r="AE231">
        <f>IF(Datos!A231="","",SQRT(SUMXMY2(X231:AC231,$X$303:$AC$303)))</f>
        <v/>
      </c>
      <c r="AF231">
        <f>IF(Datos!A231="","",SQRT(SUMXMY2(X231:AC231,$X$304:$AC$304)))</f>
        <v/>
      </c>
      <c r="AG231" s="11">
        <f>IF(Datos!A231="","",IF(AE231+AF231&lt;0.000000001,0.5,AF231/(AE231+AF231)))</f>
        <v/>
      </c>
      <c r="AH231">
        <f>IF(Datos!A231="","",AG231*MAX(C231*D231,1))</f>
        <v/>
      </c>
      <c r="AI231">
        <f>IF(Datos!A231="","",SUMIF($AH$2:$AH$301,"&gt;="&amp;AH231,$AH$2:$AH$301)/SUM($AH$2:$AH$301))</f>
        <v/>
      </c>
      <c r="AJ231" s="12">
        <f>IF(Datos!A231="","",IF(AI231&lt;=Parametros!$B$13,"A",IF(AI231&lt;=Parametros!$B$14,"B","C")))</f>
        <v/>
      </c>
      <c r="AK231" s="13">
        <f>IF(Datos!A231="","",VLOOKUP(AJ231,Parametros!$A$8:$C$10,2,FALSE))</f>
        <v/>
      </c>
      <c r="AL231">
        <f>IF(Datos!A231="","",VLOOKUP(AJ231,Parametros!$A$8:$C$10,3,FALSE))</f>
        <v/>
      </c>
      <c r="AM231">
        <f>IF(Datos!A231="","",NORMSINV(AK231))</f>
        <v/>
      </c>
      <c r="AN231">
        <f>IF(Datos!A231="","",D231/Parametros!$B$4)</f>
        <v/>
      </c>
      <c r="AO231">
        <f>IF(Datos!A231="","",MAX(0,ROUNDUP(AM231*(AN231*Parametros!$B$3)*SQRT((AL231+E231)),0)))</f>
        <v/>
      </c>
      <c r="AP231">
        <f>IF(Datos!A231="","",MAX(1,ROUNDUP(AN231*(AL231+E231)+AM231*(AN231*Parametros!$B$3)*SQRT((AL231+E231)),0)))</f>
        <v/>
      </c>
      <c r="AQ231">
        <f>IF(Datos!A231="","",IF(Datos!J231="","",Datos!J231))</f>
        <v/>
      </c>
      <c r="AR231">
        <f>IF(OR(Datos!A231="",AQ231=""),"",MAX(0,AQ231-AP231))</f>
        <v/>
      </c>
      <c r="AS231" s="10">
        <f>IF(OR(Datos!A231="",AQ231=""),"",AR231*C231)</f>
        <v/>
      </c>
      <c r="AT231" s="12">
        <f>IF(OR(Datos!A231="",AQ231=""),"",IF(AQ231&lt;AO231,"SI",""))</f>
        <v/>
      </c>
      <c r="AU231">
        <f>IF(Datos!A231="","",IF(AT231="SI","Reponer ahora",IF(AND(AQ231&lt;&gt;"",AR231&gt;0),"Bajar "&amp;TEXT(AR231,"#,##0")&amp;" un.","En rango")))</f>
        <v/>
      </c>
    </row>
    <row r="232">
      <c r="A232">
        <f>IF(Datos!A232="","",Datos!A232)</f>
        <v/>
      </c>
      <c r="B232">
        <f>IF(Datos!A232="","",Datos!B232)</f>
        <v/>
      </c>
      <c r="C232">
        <f>IF(Datos!A232="","",IFERROR(MAX(0,N(Datos!D232)),0))</f>
        <v/>
      </c>
      <c r="D232">
        <f>IF(Datos!A232="","",IFERROR(MAX(0,N(Datos!E232)),0))</f>
        <v/>
      </c>
      <c r="E232">
        <f>IF(Datos!A232="","",IFERROR(MAX(0,N(Datos!F232)),0))</f>
        <v/>
      </c>
      <c r="F232">
        <f>IF(Datos!A232="","",IFERROR(MAX(0,N(Datos!G232)),0))</f>
        <v/>
      </c>
      <c r="G232">
        <f>IF(Datos!A232="","",IFERROR(MAX(0,N(Datos!H232)),0))</f>
        <v/>
      </c>
      <c r="H232">
        <f>IF(Datos!A232="","",IFERROR(MAX(0,N(Datos!I232)),0))</f>
        <v/>
      </c>
      <c r="J232">
        <f>IF(Datos!A232="","",IF(MAX(C$2:C$301)-MIN(C$2:C$301)&lt;0.000000001,0.5,(C232-MIN(C$2:C$301))/(MAX(C$2:C$301)-MIN(C$2:C$301)))+0.000000001)</f>
        <v/>
      </c>
      <c r="K232">
        <f>IF(Datos!A232="","",IF(MAX(D$2:D$301)-MIN(D$2:D$301)&lt;0.000000001,0.5,(D232-MIN(D$2:D$301))/(MAX(D$2:D$301)-MIN(D$2:D$301)))+0.000000001)</f>
        <v/>
      </c>
      <c r="L232">
        <f>IF(Datos!A232="","",IF(MAX(E$2:E$301)-MIN(E$2:E$301)&lt;0.000000001,0.5,(E232-MIN(E$2:E$301))/(MAX(E$2:E$301)-MIN(E$2:E$301)))+0.000000001)</f>
        <v/>
      </c>
      <c r="M232">
        <f>IF(Datos!A232="","",IF(MAX(F$2:F$301)-MIN(F$2:F$301)&lt;0.000000001,0.5,(F232-MIN(F$2:F$301))/(MAX(F$2:F$301)-MIN(F$2:F$301)))+0.000000001)</f>
        <v/>
      </c>
      <c r="N232">
        <f>IF(Datos!A232="","",IF(MAX(G$2:G$301)-MIN(G$2:G$301)&lt;0.000000001,0.5,(G232-MIN(G$2:G$301))/(MAX(G$2:G$301)-MIN(G$2:G$301)))+0.000000001)</f>
        <v/>
      </c>
      <c r="O232">
        <f>IF(Datos!A232="","",IF(MAX(H$2:H$301)-MIN(H$2:H$301)&lt;0.000000001,0.5,(H232-MIN(H$2:H$301))/(MAX(H$2:H$301)-MIN(H$2:H$301)))+0.000000001)</f>
        <v/>
      </c>
      <c r="Q232">
        <f>IF(Datos!A232="","",(J232/SUM(J$2:J$301))*LN(J232/SUM(J$2:J$301)))</f>
        <v/>
      </c>
      <c r="R232">
        <f>IF(Datos!A232="","",(K232/SUM(K$2:K$301))*LN(K232/SUM(K$2:K$301)))</f>
        <v/>
      </c>
      <c r="S232">
        <f>IF(Datos!A232="","",(L232/SUM(L$2:L$301))*LN(L232/SUM(L$2:L$301)))</f>
        <v/>
      </c>
      <c r="T232">
        <f>IF(Datos!A232="","",(M232/SUM(M$2:M$301))*LN(M232/SUM(M$2:M$301)))</f>
        <v/>
      </c>
      <c r="U232">
        <f>IF(Datos!A232="","",(N232/SUM(N$2:N$301))*LN(N232/SUM(N$2:N$301)))</f>
        <v/>
      </c>
      <c r="V232">
        <f>IF(Datos!A232="","",(O232/SUM(O$2:O$301))*LN(O232/SUM(O$2:O$301)))</f>
        <v/>
      </c>
      <c r="X232">
        <f>IF(Datos!A232="","",IF(SUMSQ(C$2:C$301)=0,0,C232/SQRT(SUMSQ(C$2:C$301)))*$BE$2)</f>
        <v/>
      </c>
      <c r="Y232">
        <f>IF(Datos!A232="","",IF(SUMSQ(D$2:D$301)=0,0,D232/SQRT(SUMSQ(D$2:D$301)))*$BE$3)</f>
        <v/>
      </c>
      <c r="Z232">
        <f>IF(Datos!A232="","",IF(SUMSQ(E$2:E$301)=0,0,E232/SQRT(SUMSQ(E$2:E$301)))*$BE$4)</f>
        <v/>
      </c>
      <c r="AA232">
        <f>IF(Datos!A232="","",IF(SUMSQ(F$2:F$301)=0,0,F232/SQRT(SUMSQ(F$2:F$301)))*$BE$5)</f>
        <v/>
      </c>
      <c r="AB232">
        <f>IF(Datos!A232="","",IF(SUMSQ(G$2:G$301)=0,0,G232/SQRT(SUMSQ(G$2:G$301)))*$BE$6)</f>
        <v/>
      </c>
      <c r="AC232">
        <f>IF(Datos!A232="","",IF(SUMSQ(H$2:H$301)=0,0,H232/SQRT(SUMSQ(H$2:H$301)))*$BE$7)</f>
        <v/>
      </c>
      <c r="AE232">
        <f>IF(Datos!A232="","",SQRT(SUMXMY2(X232:AC232,$X$303:$AC$303)))</f>
        <v/>
      </c>
      <c r="AF232">
        <f>IF(Datos!A232="","",SQRT(SUMXMY2(X232:AC232,$X$304:$AC$304)))</f>
        <v/>
      </c>
      <c r="AG232" s="11">
        <f>IF(Datos!A232="","",IF(AE232+AF232&lt;0.000000001,0.5,AF232/(AE232+AF232)))</f>
        <v/>
      </c>
      <c r="AH232">
        <f>IF(Datos!A232="","",AG232*MAX(C232*D232,1))</f>
        <v/>
      </c>
      <c r="AI232">
        <f>IF(Datos!A232="","",SUMIF($AH$2:$AH$301,"&gt;="&amp;AH232,$AH$2:$AH$301)/SUM($AH$2:$AH$301))</f>
        <v/>
      </c>
      <c r="AJ232" s="12">
        <f>IF(Datos!A232="","",IF(AI232&lt;=Parametros!$B$13,"A",IF(AI232&lt;=Parametros!$B$14,"B","C")))</f>
        <v/>
      </c>
      <c r="AK232" s="13">
        <f>IF(Datos!A232="","",VLOOKUP(AJ232,Parametros!$A$8:$C$10,2,FALSE))</f>
        <v/>
      </c>
      <c r="AL232">
        <f>IF(Datos!A232="","",VLOOKUP(AJ232,Parametros!$A$8:$C$10,3,FALSE))</f>
        <v/>
      </c>
      <c r="AM232">
        <f>IF(Datos!A232="","",NORMSINV(AK232))</f>
        <v/>
      </c>
      <c r="AN232">
        <f>IF(Datos!A232="","",D232/Parametros!$B$4)</f>
        <v/>
      </c>
      <c r="AO232">
        <f>IF(Datos!A232="","",MAX(0,ROUNDUP(AM232*(AN232*Parametros!$B$3)*SQRT((AL232+E232)),0)))</f>
        <v/>
      </c>
      <c r="AP232">
        <f>IF(Datos!A232="","",MAX(1,ROUNDUP(AN232*(AL232+E232)+AM232*(AN232*Parametros!$B$3)*SQRT((AL232+E232)),0)))</f>
        <v/>
      </c>
      <c r="AQ232">
        <f>IF(Datos!A232="","",IF(Datos!J232="","",Datos!J232))</f>
        <v/>
      </c>
      <c r="AR232">
        <f>IF(OR(Datos!A232="",AQ232=""),"",MAX(0,AQ232-AP232))</f>
        <v/>
      </c>
      <c r="AS232" s="10">
        <f>IF(OR(Datos!A232="",AQ232=""),"",AR232*C232)</f>
        <v/>
      </c>
      <c r="AT232" s="12">
        <f>IF(OR(Datos!A232="",AQ232=""),"",IF(AQ232&lt;AO232,"SI",""))</f>
        <v/>
      </c>
      <c r="AU232">
        <f>IF(Datos!A232="","",IF(AT232="SI","Reponer ahora",IF(AND(AQ232&lt;&gt;"",AR232&gt;0),"Bajar "&amp;TEXT(AR232,"#,##0")&amp;" un.","En rango")))</f>
        <v/>
      </c>
    </row>
    <row r="233">
      <c r="A233">
        <f>IF(Datos!A233="","",Datos!A233)</f>
        <v/>
      </c>
      <c r="B233">
        <f>IF(Datos!A233="","",Datos!B233)</f>
        <v/>
      </c>
      <c r="C233">
        <f>IF(Datos!A233="","",IFERROR(MAX(0,N(Datos!D233)),0))</f>
        <v/>
      </c>
      <c r="D233">
        <f>IF(Datos!A233="","",IFERROR(MAX(0,N(Datos!E233)),0))</f>
        <v/>
      </c>
      <c r="E233">
        <f>IF(Datos!A233="","",IFERROR(MAX(0,N(Datos!F233)),0))</f>
        <v/>
      </c>
      <c r="F233">
        <f>IF(Datos!A233="","",IFERROR(MAX(0,N(Datos!G233)),0))</f>
        <v/>
      </c>
      <c r="G233">
        <f>IF(Datos!A233="","",IFERROR(MAX(0,N(Datos!H233)),0))</f>
        <v/>
      </c>
      <c r="H233">
        <f>IF(Datos!A233="","",IFERROR(MAX(0,N(Datos!I233)),0))</f>
        <v/>
      </c>
      <c r="J233">
        <f>IF(Datos!A233="","",IF(MAX(C$2:C$301)-MIN(C$2:C$301)&lt;0.000000001,0.5,(C233-MIN(C$2:C$301))/(MAX(C$2:C$301)-MIN(C$2:C$301)))+0.000000001)</f>
        <v/>
      </c>
      <c r="K233">
        <f>IF(Datos!A233="","",IF(MAX(D$2:D$301)-MIN(D$2:D$301)&lt;0.000000001,0.5,(D233-MIN(D$2:D$301))/(MAX(D$2:D$301)-MIN(D$2:D$301)))+0.000000001)</f>
        <v/>
      </c>
      <c r="L233">
        <f>IF(Datos!A233="","",IF(MAX(E$2:E$301)-MIN(E$2:E$301)&lt;0.000000001,0.5,(E233-MIN(E$2:E$301))/(MAX(E$2:E$301)-MIN(E$2:E$301)))+0.000000001)</f>
        <v/>
      </c>
      <c r="M233">
        <f>IF(Datos!A233="","",IF(MAX(F$2:F$301)-MIN(F$2:F$301)&lt;0.000000001,0.5,(F233-MIN(F$2:F$301))/(MAX(F$2:F$301)-MIN(F$2:F$301)))+0.000000001)</f>
        <v/>
      </c>
      <c r="N233">
        <f>IF(Datos!A233="","",IF(MAX(G$2:G$301)-MIN(G$2:G$301)&lt;0.000000001,0.5,(G233-MIN(G$2:G$301))/(MAX(G$2:G$301)-MIN(G$2:G$301)))+0.000000001)</f>
        <v/>
      </c>
      <c r="O233">
        <f>IF(Datos!A233="","",IF(MAX(H$2:H$301)-MIN(H$2:H$301)&lt;0.000000001,0.5,(H233-MIN(H$2:H$301))/(MAX(H$2:H$301)-MIN(H$2:H$301)))+0.000000001)</f>
        <v/>
      </c>
      <c r="Q233">
        <f>IF(Datos!A233="","",(J233/SUM(J$2:J$301))*LN(J233/SUM(J$2:J$301)))</f>
        <v/>
      </c>
      <c r="R233">
        <f>IF(Datos!A233="","",(K233/SUM(K$2:K$301))*LN(K233/SUM(K$2:K$301)))</f>
        <v/>
      </c>
      <c r="S233">
        <f>IF(Datos!A233="","",(L233/SUM(L$2:L$301))*LN(L233/SUM(L$2:L$301)))</f>
        <v/>
      </c>
      <c r="T233">
        <f>IF(Datos!A233="","",(M233/SUM(M$2:M$301))*LN(M233/SUM(M$2:M$301)))</f>
        <v/>
      </c>
      <c r="U233">
        <f>IF(Datos!A233="","",(N233/SUM(N$2:N$301))*LN(N233/SUM(N$2:N$301)))</f>
        <v/>
      </c>
      <c r="V233">
        <f>IF(Datos!A233="","",(O233/SUM(O$2:O$301))*LN(O233/SUM(O$2:O$301)))</f>
        <v/>
      </c>
      <c r="X233">
        <f>IF(Datos!A233="","",IF(SUMSQ(C$2:C$301)=0,0,C233/SQRT(SUMSQ(C$2:C$301)))*$BE$2)</f>
        <v/>
      </c>
      <c r="Y233">
        <f>IF(Datos!A233="","",IF(SUMSQ(D$2:D$301)=0,0,D233/SQRT(SUMSQ(D$2:D$301)))*$BE$3)</f>
        <v/>
      </c>
      <c r="Z233">
        <f>IF(Datos!A233="","",IF(SUMSQ(E$2:E$301)=0,0,E233/SQRT(SUMSQ(E$2:E$301)))*$BE$4)</f>
        <v/>
      </c>
      <c r="AA233">
        <f>IF(Datos!A233="","",IF(SUMSQ(F$2:F$301)=0,0,F233/SQRT(SUMSQ(F$2:F$301)))*$BE$5)</f>
        <v/>
      </c>
      <c r="AB233">
        <f>IF(Datos!A233="","",IF(SUMSQ(G$2:G$301)=0,0,G233/SQRT(SUMSQ(G$2:G$301)))*$BE$6)</f>
        <v/>
      </c>
      <c r="AC233">
        <f>IF(Datos!A233="","",IF(SUMSQ(H$2:H$301)=0,0,H233/SQRT(SUMSQ(H$2:H$301)))*$BE$7)</f>
        <v/>
      </c>
      <c r="AE233">
        <f>IF(Datos!A233="","",SQRT(SUMXMY2(X233:AC233,$X$303:$AC$303)))</f>
        <v/>
      </c>
      <c r="AF233">
        <f>IF(Datos!A233="","",SQRT(SUMXMY2(X233:AC233,$X$304:$AC$304)))</f>
        <v/>
      </c>
      <c r="AG233" s="11">
        <f>IF(Datos!A233="","",IF(AE233+AF233&lt;0.000000001,0.5,AF233/(AE233+AF233)))</f>
        <v/>
      </c>
      <c r="AH233">
        <f>IF(Datos!A233="","",AG233*MAX(C233*D233,1))</f>
        <v/>
      </c>
      <c r="AI233">
        <f>IF(Datos!A233="","",SUMIF($AH$2:$AH$301,"&gt;="&amp;AH233,$AH$2:$AH$301)/SUM($AH$2:$AH$301))</f>
        <v/>
      </c>
      <c r="AJ233" s="12">
        <f>IF(Datos!A233="","",IF(AI233&lt;=Parametros!$B$13,"A",IF(AI233&lt;=Parametros!$B$14,"B","C")))</f>
        <v/>
      </c>
      <c r="AK233" s="13">
        <f>IF(Datos!A233="","",VLOOKUP(AJ233,Parametros!$A$8:$C$10,2,FALSE))</f>
        <v/>
      </c>
      <c r="AL233">
        <f>IF(Datos!A233="","",VLOOKUP(AJ233,Parametros!$A$8:$C$10,3,FALSE))</f>
        <v/>
      </c>
      <c r="AM233">
        <f>IF(Datos!A233="","",NORMSINV(AK233))</f>
        <v/>
      </c>
      <c r="AN233">
        <f>IF(Datos!A233="","",D233/Parametros!$B$4)</f>
        <v/>
      </c>
      <c r="AO233">
        <f>IF(Datos!A233="","",MAX(0,ROUNDUP(AM233*(AN233*Parametros!$B$3)*SQRT((AL233+E233)),0)))</f>
        <v/>
      </c>
      <c r="AP233">
        <f>IF(Datos!A233="","",MAX(1,ROUNDUP(AN233*(AL233+E233)+AM233*(AN233*Parametros!$B$3)*SQRT((AL233+E233)),0)))</f>
        <v/>
      </c>
      <c r="AQ233">
        <f>IF(Datos!A233="","",IF(Datos!J233="","",Datos!J233))</f>
        <v/>
      </c>
      <c r="AR233">
        <f>IF(OR(Datos!A233="",AQ233=""),"",MAX(0,AQ233-AP233))</f>
        <v/>
      </c>
      <c r="AS233" s="10">
        <f>IF(OR(Datos!A233="",AQ233=""),"",AR233*C233)</f>
        <v/>
      </c>
      <c r="AT233" s="12">
        <f>IF(OR(Datos!A233="",AQ233=""),"",IF(AQ233&lt;AO233,"SI",""))</f>
        <v/>
      </c>
      <c r="AU233">
        <f>IF(Datos!A233="","",IF(AT233="SI","Reponer ahora",IF(AND(AQ233&lt;&gt;"",AR233&gt;0),"Bajar "&amp;TEXT(AR233,"#,##0")&amp;" un.","En rango")))</f>
        <v/>
      </c>
    </row>
    <row r="234">
      <c r="A234">
        <f>IF(Datos!A234="","",Datos!A234)</f>
        <v/>
      </c>
      <c r="B234">
        <f>IF(Datos!A234="","",Datos!B234)</f>
        <v/>
      </c>
      <c r="C234">
        <f>IF(Datos!A234="","",IFERROR(MAX(0,N(Datos!D234)),0))</f>
        <v/>
      </c>
      <c r="D234">
        <f>IF(Datos!A234="","",IFERROR(MAX(0,N(Datos!E234)),0))</f>
        <v/>
      </c>
      <c r="E234">
        <f>IF(Datos!A234="","",IFERROR(MAX(0,N(Datos!F234)),0))</f>
        <v/>
      </c>
      <c r="F234">
        <f>IF(Datos!A234="","",IFERROR(MAX(0,N(Datos!G234)),0))</f>
        <v/>
      </c>
      <c r="G234">
        <f>IF(Datos!A234="","",IFERROR(MAX(0,N(Datos!H234)),0))</f>
        <v/>
      </c>
      <c r="H234">
        <f>IF(Datos!A234="","",IFERROR(MAX(0,N(Datos!I234)),0))</f>
        <v/>
      </c>
      <c r="J234">
        <f>IF(Datos!A234="","",IF(MAX(C$2:C$301)-MIN(C$2:C$301)&lt;0.000000001,0.5,(C234-MIN(C$2:C$301))/(MAX(C$2:C$301)-MIN(C$2:C$301)))+0.000000001)</f>
        <v/>
      </c>
      <c r="K234">
        <f>IF(Datos!A234="","",IF(MAX(D$2:D$301)-MIN(D$2:D$301)&lt;0.000000001,0.5,(D234-MIN(D$2:D$301))/(MAX(D$2:D$301)-MIN(D$2:D$301)))+0.000000001)</f>
        <v/>
      </c>
      <c r="L234">
        <f>IF(Datos!A234="","",IF(MAX(E$2:E$301)-MIN(E$2:E$301)&lt;0.000000001,0.5,(E234-MIN(E$2:E$301))/(MAX(E$2:E$301)-MIN(E$2:E$301)))+0.000000001)</f>
        <v/>
      </c>
      <c r="M234">
        <f>IF(Datos!A234="","",IF(MAX(F$2:F$301)-MIN(F$2:F$301)&lt;0.000000001,0.5,(F234-MIN(F$2:F$301))/(MAX(F$2:F$301)-MIN(F$2:F$301)))+0.000000001)</f>
        <v/>
      </c>
      <c r="N234">
        <f>IF(Datos!A234="","",IF(MAX(G$2:G$301)-MIN(G$2:G$301)&lt;0.000000001,0.5,(G234-MIN(G$2:G$301))/(MAX(G$2:G$301)-MIN(G$2:G$301)))+0.000000001)</f>
        <v/>
      </c>
      <c r="O234">
        <f>IF(Datos!A234="","",IF(MAX(H$2:H$301)-MIN(H$2:H$301)&lt;0.000000001,0.5,(H234-MIN(H$2:H$301))/(MAX(H$2:H$301)-MIN(H$2:H$301)))+0.000000001)</f>
        <v/>
      </c>
      <c r="Q234">
        <f>IF(Datos!A234="","",(J234/SUM(J$2:J$301))*LN(J234/SUM(J$2:J$301)))</f>
        <v/>
      </c>
      <c r="R234">
        <f>IF(Datos!A234="","",(K234/SUM(K$2:K$301))*LN(K234/SUM(K$2:K$301)))</f>
        <v/>
      </c>
      <c r="S234">
        <f>IF(Datos!A234="","",(L234/SUM(L$2:L$301))*LN(L234/SUM(L$2:L$301)))</f>
        <v/>
      </c>
      <c r="T234">
        <f>IF(Datos!A234="","",(M234/SUM(M$2:M$301))*LN(M234/SUM(M$2:M$301)))</f>
        <v/>
      </c>
      <c r="U234">
        <f>IF(Datos!A234="","",(N234/SUM(N$2:N$301))*LN(N234/SUM(N$2:N$301)))</f>
        <v/>
      </c>
      <c r="V234">
        <f>IF(Datos!A234="","",(O234/SUM(O$2:O$301))*LN(O234/SUM(O$2:O$301)))</f>
        <v/>
      </c>
      <c r="X234">
        <f>IF(Datos!A234="","",IF(SUMSQ(C$2:C$301)=0,0,C234/SQRT(SUMSQ(C$2:C$301)))*$BE$2)</f>
        <v/>
      </c>
      <c r="Y234">
        <f>IF(Datos!A234="","",IF(SUMSQ(D$2:D$301)=0,0,D234/SQRT(SUMSQ(D$2:D$301)))*$BE$3)</f>
        <v/>
      </c>
      <c r="Z234">
        <f>IF(Datos!A234="","",IF(SUMSQ(E$2:E$301)=0,0,E234/SQRT(SUMSQ(E$2:E$301)))*$BE$4)</f>
        <v/>
      </c>
      <c r="AA234">
        <f>IF(Datos!A234="","",IF(SUMSQ(F$2:F$301)=0,0,F234/SQRT(SUMSQ(F$2:F$301)))*$BE$5)</f>
        <v/>
      </c>
      <c r="AB234">
        <f>IF(Datos!A234="","",IF(SUMSQ(G$2:G$301)=0,0,G234/SQRT(SUMSQ(G$2:G$301)))*$BE$6)</f>
        <v/>
      </c>
      <c r="AC234">
        <f>IF(Datos!A234="","",IF(SUMSQ(H$2:H$301)=0,0,H234/SQRT(SUMSQ(H$2:H$301)))*$BE$7)</f>
        <v/>
      </c>
      <c r="AE234">
        <f>IF(Datos!A234="","",SQRT(SUMXMY2(X234:AC234,$X$303:$AC$303)))</f>
        <v/>
      </c>
      <c r="AF234">
        <f>IF(Datos!A234="","",SQRT(SUMXMY2(X234:AC234,$X$304:$AC$304)))</f>
        <v/>
      </c>
      <c r="AG234" s="11">
        <f>IF(Datos!A234="","",IF(AE234+AF234&lt;0.000000001,0.5,AF234/(AE234+AF234)))</f>
        <v/>
      </c>
      <c r="AH234">
        <f>IF(Datos!A234="","",AG234*MAX(C234*D234,1))</f>
        <v/>
      </c>
      <c r="AI234">
        <f>IF(Datos!A234="","",SUMIF($AH$2:$AH$301,"&gt;="&amp;AH234,$AH$2:$AH$301)/SUM($AH$2:$AH$301))</f>
        <v/>
      </c>
      <c r="AJ234" s="12">
        <f>IF(Datos!A234="","",IF(AI234&lt;=Parametros!$B$13,"A",IF(AI234&lt;=Parametros!$B$14,"B","C")))</f>
        <v/>
      </c>
      <c r="AK234" s="13">
        <f>IF(Datos!A234="","",VLOOKUP(AJ234,Parametros!$A$8:$C$10,2,FALSE))</f>
        <v/>
      </c>
      <c r="AL234">
        <f>IF(Datos!A234="","",VLOOKUP(AJ234,Parametros!$A$8:$C$10,3,FALSE))</f>
        <v/>
      </c>
      <c r="AM234">
        <f>IF(Datos!A234="","",NORMSINV(AK234))</f>
        <v/>
      </c>
      <c r="AN234">
        <f>IF(Datos!A234="","",D234/Parametros!$B$4)</f>
        <v/>
      </c>
      <c r="AO234">
        <f>IF(Datos!A234="","",MAX(0,ROUNDUP(AM234*(AN234*Parametros!$B$3)*SQRT((AL234+E234)),0)))</f>
        <v/>
      </c>
      <c r="AP234">
        <f>IF(Datos!A234="","",MAX(1,ROUNDUP(AN234*(AL234+E234)+AM234*(AN234*Parametros!$B$3)*SQRT((AL234+E234)),0)))</f>
        <v/>
      </c>
      <c r="AQ234">
        <f>IF(Datos!A234="","",IF(Datos!J234="","",Datos!J234))</f>
        <v/>
      </c>
      <c r="AR234">
        <f>IF(OR(Datos!A234="",AQ234=""),"",MAX(0,AQ234-AP234))</f>
        <v/>
      </c>
      <c r="AS234" s="10">
        <f>IF(OR(Datos!A234="",AQ234=""),"",AR234*C234)</f>
        <v/>
      </c>
      <c r="AT234" s="12">
        <f>IF(OR(Datos!A234="",AQ234=""),"",IF(AQ234&lt;AO234,"SI",""))</f>
        <v/>
      </c>
      <c r="AU234">
        <f>IF(Datos!A234="","",IF(AT234="SI","Reponer ahora",IF(AND(AQ234&lt;&gt;"",AR234&gt;0),"Bajar "&amp;TEXT(AR234,"#,##0")&amp;" un.","En rango")))</f>
        <v/>
      </c>
    </row>
    <row r="235">
      <c r="A235">
        <f>IF(Datos!A235="","",Datos!A235)</f>
        <v/>
      </c>
      <c r="B235">
        <f>IF(Datos!A235="","",Datos!B235)</f>
        <v/>
      </c>
      <c r="C235">
        <f>IF(Datos!A235="","",IFERROR(MAX(0,N(Datos!D235)),0))</f>
        <v/>
      </c>
      <c r="D235">
        <f>IF(Datos!A235="","",IFERROR(MAX(0,N(Datos!E235)),0))</f>
        <v/>
      </c>
      <c r="E235">
        <f>IF(Datos!A235="","",IFERROR(MAX(0,N(Datos!F235)),0))</f>
        <v/>
      </c>
      <c r="F235">
        <f>IF(Datos!A235="","",IFERROR(MAX(0,N(Datos!G235)),0))</f>
        <v/>
      </c>
      <c r="G235">
        <f>IF(Datos!A235="","",IFERROR(MAX(0,N(Datos!H235)),0))</f>
        <v/>
      </c>
      <c r="H235">
        <f>IF(Datos!A235="","",IFERROR(MAX(0,N(Datos!I235)),0))</f>
        <v/>
      </c>
      <c r="J235">
        <f>IF(Datos!A235="","",IF(MAX(C$2:C$301)-MIN(C$2:C$301)&lt;0.000000001,0.5,(C235-MIN(C$2:C$301))/(MAX(C$2:C$301)-MIN(C$2:C$301)))+0.000000001)</f>
        <v/>
      </c>
      <c r="K235">
        <f>IF(Datos!A235="","",IF(MAX(D$2:D$301)-MIN(D$2:D$301)&lt;0.000000001,0.5,(D235-MIN(D$2:D$301))/(MAX(D$2:D$301)-MIN(D$2:D$301)))+0.000000001)</f>
        <v/>
      </c>
      <c r="L235">
        <f>IF(Datos!A235="","",IF(MAX(E$2:E$301)-MIN(E$2:E$301)&lt;0.000000001,0.5,(E235-MIN(E$2:E$301))/(MAX(E$2:E$301)-MIN(E$2:E$301)))+0.000000001)</f>
        <v/>
      </c>
      <c r="M235">
        <f>IF(Datos!A235="","",IF(MAX(F$2:F$301)-MIN(F$2:F$301)&lt;0.000000001,0.5,(F235-MIN(F$2:F$301))/(MAX(F$2:F$301)-MIN(F$2:F$301)))+0.000000001)</f>
        <v/>
      </c>
      <c r="N235">
        <f>IF(Datos!A235="","",IF(MAX(G$2:G$301)-MIN(G$2:G$301)&lt;0.000000001,0.5,(G235-MIN(G$2:G$301))/(MAX(G$2:G$301)-MIN(G$2:G$301)))+0.000000001)</f>
        <v/>
      </c>
      <c r="O235">
        <f>IF(Datos!A235="","",IF(MAX(H$2:H$301)-MIN(H$2:H$301)&lt;0.000000001,0.5,(H235-MIN(H$2:H$301))/(MAX(H$2:H$301)-MIN(H$2:H$301)))+0.000000001)</f>
        <v/>
      </c>
      <c r="Q235">
        <f>IF(Datos!A235="","",(J235/SUM(J$2:J$301))*LN(J235/SUM(J$2:J$301)))</f>
        <v/>
      </c>
      <c r="R235">
        <f>IF(Datos!A235="","",(K235/SUM(K$2:K$301))*LN(K235/SUM(K$2:K$301)))</f>
        <v/>
      </c>
      <c r="S235">
        <f>IF(Datos!A235="","",(L235/SUM(L$2:L$301))*LN(L235/SUM(L$2:L$301)))</f>
        <v/>
      </c>
      <c r="T235">
        <f>IF(Datos!A235="","",(M235/SUM(M$2:M$301))*LN(M235/SUM(M$2:M$301)))</f>
        <v/>
      </c>
      <c r="U235">
        <f>IF(Datos!A235="","",(N235/SUM(N$2:N$301))*LN(N235/SUM(N$2:N$301)))</f>
        <v/>
      </c>
      <c r="V235">
        <f>IF(Datos!A235="","",(O235/SUM(O$2:O$301))*LN(O235/SUM(O$2:O$301)))</f>
        <v/>
      </c>
      <c r="X235">
        <f>IF(Datos!A235="","",IF(SUMSQ(C$2:C$301)=0,0,C235/SQRT(SUMSQ(C$2:C$301)))*$BE$2)</f>
        <v/>
      </c>
      <c r="Y235">
        <f>IF(Datos!A235="","",IF(SUMSQ(D$2:D$301)=0,0,D235/SQRT(SUMSQ(D$2:D$301)))*$BE$3)</f>
        <v/>
      </c>
      <c r="Z235">
        <f>IF(Datos!A235="","",IF(SUMSQ(E$2:E$301)=0,0,E235/SQRT(SUMSQ(E$2:E$301)))*$BE$4)</f>
        <v/>
      </c>
      <c r="AA235">
        <f>IF(Datos!A235="","",IF(SUMSQ(F$2:F$301)=0,0,F235/SQRT(SUMSQ(F$2:F$301)))*$BE$5)</f>
        <v/>
      </c>
      <c r="AB235">
        <f>IF(Datos!A235="","",IF(SUMSQ(G$2:G$301)=0,0,G235/SQRT(SUMSQ(G$2:G$301)))*$BE$6)</f>
        <v/>
      </c>
      <c r="AC235">
        <f>IF(Datos!A235="","",IF(SUMSQ(H$2:H$301)=0,0,H235/SQRT(SUMSQ(H$2:H$301)))*$BE$7)</f>
        <v/>
      </c>
      <c r="AE235">
        <f>IF(Datos!A235="","",SQRT(SUMXMY2(X235:AC235,$X$303:$AC$303)))</f>
        <v/>
      </c>
      <c r="AF235">
        <f>IF(Datos!A235="","",SQRT(SUMXMY2(X235:AC235,$X$304:$AC$304)))</f>
        <v/>
      </c>
      <c r="AG235" s="11">
        <f>IF(Datos!A235="","",IF(AE235+AF235&lt;0.000000001,0.5,AF235/(AE235+AF235)))</f>
        <v/>
      </c>
      <c r="AH235">
        <f>IF(Datos!A235="","",AG235*MAX(C235*D235,1))</f>
        <v/>
      </c>
      <c r="AI235">
        <f>IF(Datos!A235="","",SUMIF($AH$2:$AH$301,"&gt;="&amp;AH235,$AH$2:$AH$301)/SUM($AH$2:$AH$301))</f>
        <v/>
      </c>
      <c r="AJ235" s="12">
        <f>IF(Datos!A235="","",IF(AI235&lt;=Parametros!$B$13,"A",IF(AI235&lt;=Parametros!$B$14,"B","C")))</f>
        <v/>
      </c>
      <c r="AK235" s="13">
        <f>IF(Datos!A235="","",VLOOKUP(AJ235,Parametros!$A$8:$C$10,2,FALSE))</f>
        <v/>
      </c>
      <c r="AL235">
        <f>IF(Datos!A235="","",VLOOKUP(AJ235,Parametros!$A$8:$C$10,3,FALSE))</f>
        <v/>
      </c>
      <c r="AM235">
        <f>IF(Datos!A235="","",NORMSINV(AK235))</f>
        <v/>
      </c>
      <c r="AN235">
        <f>IF(Datos!A235="","",D235/Parametros!$B$4)</f>
        <v/>
      </c>
      <c r="AO235">
        <f>IF(Datos!A235="","",MAX(0,ROUNDUP(AM235*(AN235*Parametros!$B$3)*SQRT((AL235+E235)),0)))</f>
        <v/>
      </c>
      <c r="AP235">
        <f>IF(Datos!A235="","",MAX(1,ROUNDUP(AN235*(AL235+E235)+AM235*(AN235*Parametros!$B$3)*SQRT((AL235+E235)),0)))</f>
        <v/>
      </c>
      <c r="AQ235">
        <f>IF(Datos!A235="","",IF(Datos!J235="","",Datos!J235))</f>
        <v/>
      </c>
      <c r="AR235">
        <f>IF(OR(Datos!A235="",AQ235=""),"",MAX(0,AQ235-AP235))</f>
        <v/>
      </c>
      <c r="AS235" s="10">
        <f>IF(OR(Datos!A235="",AQ235=""),"",AR235*C235)</f>
        <v/>
      </c>
      <c r="AT235" s="12">
        <f>IF(OR(Datos!A235="",AQ235=""),"",IF(AQ235&lt;AO235,"SI",""))</f>
        <v/>
      </c>
      <c r="AU235">
        <f>IF(Datos!A235="","",IF(AT235="SI","Reponer ahora",IF(AND(AQ235&lt;&gt;"",AR235&gt;0),"Bajar "&amp;TEXT(AR235,"#,##0")&amp;" un.","En rango")))</f>
        <v/>
      </c>
    </row>
    <row r="236">
      <c r="A236">
        <f>IF(Datos!A236="","",Datos!A236)</f>
        <v/>
      </c>
      <c r="B236">
        <f>IF(Datos!A236="","",Datos!B236)</f>
        <v/>
      </c>
      <c r="C236">
        <f>IF(Datos!A236="","",IFERROR(MAX(0,N(Datos!D236)),0))</f>
        <v/>
      </c>
      <c r="D236">
        <f>IF(Datos!A236="","",IFERROR(MAX(0,N(Datos!E236)),0))</f>
        <v/>
      </c>
      <c r="E236">
        <f>IF(Datos!A236="","",IFERROR(MAX(0,N(Datos!F236)),0))</f>
        <v/>
      </c>
      <c r="F236">
        <f>IF(Datos!A236="","",IFERROR(MAX(0,N(Datos!G236)),0))</f>
        <v/>
      </c>
      <c r="G236">
        <f>IF(Datos!A236="","",IFERROR(MAX(0,N(Datos!H236)),0))</f>
        <v/>
      </c>
      <c r="H236">
        <f>IF(Datos!A236="","",IFERROR(MAX(0,N(Datos!I236)),0))</f>
        <v/>
      </c>
      <c r="J236">
        <f>IF(Datos!A236="","",IF(MAX(C$2:C$301)-MIN(C$2:C$301)&lt;0.000000001,0.5,(C236-MIN(C$2:C$301))/(MAX(C$2:C$301)-MIN(C$2:C$301)))+0.000000001)</f>
        <v/>
      </c>
      <c r="K236">
        <f>IF(Datos!A236="","",IF(MAX(D$2:D$301)-MIN(D$2:D$301)&lt;0.000000001,0.5,(D236-MIN(D$2:D$301))/(MAX(D$2:D$301)-MIN(D$2:D$301)))+0.000000001)</f>
        <v/>
      </c>
      <c r="L236">
        <f>IF(Datos!A236="","",IF(MAX(E$2:E$301)-MIN(E$2:E$301)&lt;0.000000001,0.5,(E236-MIN(E$2:E$301))/(MAX(E$2:E$301)-MIN(E$2:E$301)))+0.000000001)</f>
        <v/>
      </c>
      <c r="M236">
        <f>IF(Datos!A236="","",IF(MAX(F$2:F$301)-MIN(F$2:F$301)&lt;0.000000001,0.5,(F236-MIN(F$2:F$301))/(MAX(F$2:F$301)-MIN(F$2:F$301)))+0.000000001)</f>
        <v/>
      </c>
      <c r="N236">
        <f>IF(Datos!A236="","",IF(MAX(G$2:G$301)-MIN(G$2:G$301)&lt;0.000000001,0.5,(G236-MIN(G$2:G$301))/(MAX(G$2:G$301)-MIN(G$2:G$301)))+0.000000001)</f>
        <v/>
      </c>
      <c r="O236">
        <f>IF(Datos!A236="","",IF(MAX(H$2:H$301)-MIN(H$2:H$301)&lt;0.000000001,0.5,(H236-MIN(H$2:H$301))/(MAX(H$2:H$301)-MIN(H$2:H$301)))+0.000000001)</f>
        <v/>
      </c>
      <c r="Q236">
        <f>IF(Datos!A236="","",(J236/SUM(J$2:J$301))*LN(J236/SUM(J$2:J$301)))</f>
        <v/>
      </c>
      <c r="R236">
        <f>IF(Datos!A236="","",(K236/SUM(K$2:K$301))*LN(K236/SUM(K$2:K$301)))</f>
        <v/>
      </c>
      <c r="S236">
        <f>IF(Datos!A236="","",(L236/SUM(L$2:L$301))*LN(L236/SUM(L$2:L$301)))</f>
        <v/>
      </c>
      <c r="T236">
        <f>IF(Datos!A236="","",(M236/SUM(M$2:M$301))*LN(M236/SUM(M$2:M$301)))</f>
        <v/>
      </c>
      <c r="U236">
        <f>IF(Datos!A236="","",(N236/SUM(N$2:N$301))*LN(N236/SUM(N$2:N$301)))</f>
        <v/>
      </c>
      <c r="V236">
        <f>IF(Datos!A236="","",(O236/SUM(O$2:O$301))*LN(O236/SUM(O$2:O$301)))</f>
        <v/>
      </c>
      <c r="X236">
        <f>IF(Datos!A236="","",IF(SUMSQ(C$2:C$301)=0,0,C236/SQRT(SUMSQ(C$2:C$301)))*$BE$2)</f>
        <v/>
      </c>
      <c r="Y236">
        <f>IF(Datos!A236="","",IF(SUMSQ(D$2:D$301)=0,0,D236/SQRT(SUMSQ(D$2:D$301)))*$BE$3)</f>
        <v/>
      </c>
      <c r="Z236">
        <f>IF(Datos!A236="","",IF(SUMSQ(E$2:E$301)=0,0,E236/SQRT(SUMSQ(E$2:E$301)))*$BE$4)</f>
        <v/>
      </c>
      <c r="AA236">
        <f>IF(Datos!A236="","",IF(SUMSQ(F$2:F$301)=0,0,F236/SQRT(SUMSQ(F$2:F$301)))*$BE$5)</f>
        <v/>
      </c>
      <c r="AB236">
        <f>IF(Datos!A236="","",IF(SUMSQ(G$2:G$301)=0,0,G236/SQRT(SUMSQ(G$2:G$301)))*$BE$6)</f>
        <v/>
      </c>
      <c r="AC236">
        <f>IF(Datos!A236="","",IF(SUMSQ(H$2:H$301)=0,0,H236/SQRT(SUMSQ(H$2:H$301)))*$BE$7)</f>
        <v/>
      </c>
      <c r="AE236">
        <f>IF(Datos!A236="","",SQRT(SUMXMY2(X236:AC236,$X$303:$AC$303)))</f>
        <v/>
      </c>
      <c r="AF236">
        <f>IF(Datos!A236="","",SQRT(SUMXMY2(X236:AC236,$X$304:$AC$304)))</f>
        <v/>
      </c>
      <c r="AG236" s="11">
        <f>IF(Datos!A236="","",IF(AE236+AF236&lt;0.000000001,0.5,AF236/(AE236+AF236)))</f>
        <v/>
      </c>
      <c r="AH236">
        <f>IF(Datos!A236="","",AG236*MAX(C236*D236,1))</f>
        <v/>
      </c>
      <c r="AI236">
        <f>IF(Datos!A236="","",SUMIF($AH$2:$AH$301,"&gt;="&amp;AH236,$AH$2:$AH$301)/SUM($AH$2:$AH$301))</f>
        <v/>
      </c>
      <c r="AJ236" s="12">
        <f>IF(Datos!A236="","",IF(AI236&lt;=Parametros!$B$13,"A",IF(AI236&lt;=Parametros!$B$14,"B","C")))</f>
        <v/>
      </c>
      <c r="AK236" s="13">
        <f>IF(Datos!A236="","",VLOOKUP(AJ236,Parametros!$A$8:$C$10,2,FALSE))</f>
        <v/>
      </c>
      <c r="AL236">
        <f>IF(Datos!A236="","",VLOOKUP(AJ236,Parametros!$A$8:$C$10,3,FALSE))</f>
        <v/>
      </c>
      <c r="AM236">
        <f>IF(Datos!A236="","",NORMSINV(AK236))</f>
        <v/>
      </c>
      <c r="AN236">
        <f>IF(Datos!A236="","",D236/Parametros!$B$4)</f>
        <v/>
      </c>
      <c r="AO236">
        <f>IF(Datos!A236="","",MAX(0,ROUNDUP(AM236*(AN236*Parametros!$B$3)*SQRT((AL236+E236)),0)))</f>
        <v/>
      </c>
      <c r="AP236">
        <f>IF(Datos!A236="","",MAX(1,ROUNDUP(AN236*(AL236+E236)+AM236*(AN236*Parametros!$B$3)*SQRT((AL236+E236)),0)))</f>
        <v/>
      </c>
      <c r="AQ236">
        <f>IF(Datos!A236="","",IF(Datos!J236="","",Datos!J236))</f>
        <v/>
      </c>
      <c r="AR236">
        <f>IF(OR(Datos!A236="",AQ236=""),"",MAX(0,AQ236-AP236))</f>
        <v/>
      </c>
      <c r="AS236" s="10">
        <f>IF(OR(Datos!A236="",AQ236=""),"",AR236*C236)</f>
        <v/>
      </c>
      <c r="AT236" s="12">
        <f>IF(OR(Datos!A236="",AQ236=""),"",IF(AQ236&lt;AO236,"SI",""))</f>
        <v/>
      </c>
      <c r="AU236">
        <f>IF(Datos!A236="","",IF(AT236="SI","Reponer ahora",IF(AND(AQ236&lt;&gt;"",AR236&gt;0),"Bajar "&amp;TEXT(AR236,"#,##0")&amp;" un.","En rango")))</f>
        <v/>
      </c>
    </row>
    <row r="237">
      <c r="A237">
        <f>IF(Datos!A237="","",Datos!A237)</f>
        <v/>
      </c>
      <c r="B237">
        <f>IF(Datos!A237="","",Datos!B237)</f>
        <v/>
      </c>
      <c r="C237">
        <f>IF(Datos!A237="","",IFERROR(MAX(0,N(Datos!D237)),0))</f>
        <v/>
      </c>
      <c r="D237">
        <f>IF(Datos!A237="","",IFERROR(MAX(0,N(Datos!E237)),0))</f>
        <v/>
      </c>
      <c r="E237">
        <f>IF(Datos!A237="","",IFERROR(MAX(0,N(Datos!F237)),0))</f>
        <v/>
      </c>
      <c r="F237">
        <f>IF(Datos!A237="","",IFERROR(MAX(0,N(Datos!G237)),0))</f>
        <v/>
      </c>
      <c r="G237">
        <f>IF(Datos!A237="","",IFERROR(MAX(0,N(Datos!H237)),0))</f>
        <v/>
      </c>
      <c r="H237">
        <f>IF(Datos!A237="","",IFERROR(MAX(0,N(Datos!I237)),0))</f>
        <v/>
      </c>
      <c r="J237">
        <f>IF(Datos!A237="","",IF(MAX(C$2:C$301)-MIN(C$2:C$301)&lt;0.000000001,0.5,(C237-MIN(C$2:C$301))/(MAX(C$2:C$301)-MIN(C$2:C$301)))+0.000000001)</f>
        <v/>
      </c>
      <c r="K237">
        <f>IF(Datos!A237="","",IF(MAX(D$2:D$301)-MIN(D$2:D$301)&lt;0.000000001,0.5,(D237-MIN(D$2:D$301))/(MAX(D$2:D$301)-MIN(D$2:D$301)))+0.000000001)</f>
        <v/>
      </c>
      <c r="L237">
        <f>IF(Datos!A237="","",IF(MAX(E$2:E$301)-MIN(E$2:E$301)&lt;0.000000001,0.5,(E237-MIN(E$2:E$301))/(MAX(E$2:E$301)-MIN(E$2:E$301)))+0.000000001)</f>
        <v/>
      </c>
      <c r="M237">
        <f>IF(Datos!A237="","",IF(MAX(F$2:F$301)-MIN(F$2:F$301)&lt;0.000000001,0.5,(F237-MIN(F$2:F$301))/(MAX(F$2:F$301)-MIN(F$2:F$301)))+0.000000001)</f>
        <v/>
      </c>
      <c r="N237">
        <f>IF(Datos!A237="","",IF(MAX(G$2:G$301)-MIN(G$2:G$301)&lt;0.000000001,0.5,(G237-MIN(G$2:G$301))/(MAX(G$2:G$301)-MIN(G$2:G$301)))+0.000000001)</f>
        <v/>
      </c>
      <c r="O237">
        <f>IF(Datos!A237="","",IF(MAX(H$2:H$301)-MIN(H$2:H$301)&lt;0.000000001,0.5,(H237-MIN(H$2:H$301))/(MAX(H$2:H$301)-MIN(H$2:H$301)))+0.000000001)</f>
        <v/>
      </c>
      <c r="Q237">
        <f>IF(Datos!A237="","",(J237/SUM(J$2:J$301))*LN(J237/SUM(J$2:J$301)))</f>
        <v/>
      </c>
      <c r="R237">
        <f>IF(Datos!A237="","",(K237/SUM(K$2:K$301))*LN(K237/SUM(K$2:K$301)))</f>
        <v/>
      </c>
      <c r="S237">
        <f>IF(Datos!A237="","",(L237/SUM(L$2:L$301))*LN(L237/SUM(L$2:L$301)))</f>
        <v/>
      </c>
      <c r="T237">
        <f>IF(Datos!A237="","",(M237/SUM(M$2:M$301))*LN(M237/SUM(M$2:M$301)))</f>
        <v/>
      </c>
      <c r="U237">
        <f>IF(Datos!A237="","",(N237/SUM(N$2:N$301))*LN(N237/SUM(N$2:N$301)))</f>
        <v/>
      </c>
      <c r="V237">
        <f>IF(Datos!A237="","",(O237/SUM(O$2:O$301))*LN(O237/SUM(O$2:O$301)))</f>
        <v/>
      </c>
      <c r="X237">
        <f>IF(Datos!A237="","",IF(SUMSQ(C$2:C$301)=0,0,C237/SQRT(SUMSQ(C$2:C$301)))*$BE$2)</f>
        <v/>
      </c>
      <c r="Y237">
        <f>IF(Datos!A237="","",IF(SUMSQ(D$2:D$301)=0,0,D237/SQRT(SUMSQ(D$2:D$301)))*$BE$3)</f>
        <v/>
      </c>
      <c r="Z237">
        <f>IF(Datos!A237="","",IF(SUMSQ(E$2:E$301)=0,0,E237/SQRT(SUMSQ(E$2:E$301)))*$BE$4)</f>
        <v/>
      </c>
      <c r="AA237">
        <f>IF(Datos!A237="","",IF(SUMSQ(F$2:F$301)=0,0,F237/SQRT(SUMSQ(F$2:F$301)))*$BE$5)</f>
        <v/>
      </c>
      <c r="AB237">
        <f>IF(Datos!A237="","",IF(SUMSQ(G$2:G$301)=0,0,G237/SQRT(SUMSQ(G$2:G$301)))*$BE$6)</f>
        <v/>
      </c>
      <c r="AC237">
        <f>IF(Datos!A237="","",IF(SUMSQ(H$2:H$301)=0,0,H237/SQRT(SUMSQ(H$2:H$301)))*$BE$7)</f>
        <v/>
      </c>
      <c r="AE237">
        <f>IF(Datos!A237="","",SQRT(SUMXMY2(X237:AC237,$X$303:$AC$303)))</f>
        <v/>
      </c>
      <c r="AF237">
        <f>IF(Datos!A237="","",SQRT(SUMXMY2(X237:AC237,$X$304:$AC$304)))</f>
        <v/>
      </c>
      <c r="AG237" s="11">
        <f>IF(Datos!A237="","",IF(AE237+AF237&lt;0.000000001,0.5,AF237/(AE237+AF237)))</f>
        <v/>
      </c>
      <c r="AH237">
        <f>IF(Datos!A237="","",AG237*MAX(C237*D237,1))</f>
        <v/>
      </c>
      <c r="AI237">
        <f>IF(Datos!A237="","",SUMIF($AH$2:$AH$301,"&gt;="&amp;AH237,$AH$2:$AH$301)/SUM($AH$2:$AH$301))</f>
        <v/>
      </c>
      <c r="AJ237" s="12">
        <f>IF(Datos!A237="","",IF(AI237&lt;=Parametros!$B$13,"A",IF(AI237&lt;=Parametros!$B$14,"B","C")))</f>
        <v/>
      </c>
      <c r="AK237" s="13">
        <f>IF(Datos!A237="","",VLOOKUP(AJ237,Parametros!$A$8:$C$10,2,FALSE))</f>
        <v/>
      </c>
      <c r="AL237">
        <f>IF(Datos!A237="","",VLOOKUP(AJ237,Parametros!$A$8:$C$10,3,FALSE))</f>
        <v/>
      </c>
      <c r="AM237">
        <f>IF(Datos!A237="","",NORMSINV(AK237))</f>
        <v/>
      </c>
      <c r="AN237">
        <f>IF(Datos!A237="","",D237/Parametros!$B$4)</f>
        <v/>
      </c>
      <c r="AO237">
        <f>IF(Datos!A237="","",MAX(0,ROUNDUP(AM237*(AN237*Parametros!$B$3)*SQRT((AL237+E237)),0)))</f>
        <v/>
      </c>
      <c r="AP237">
        <f>IF(Datos!A237="","",MAX(1,ROUNDUP(AN237*(AL237+E237)+AM237*(AN237*Parametros!$B$3)*SQRT((AL237+E237)),0)))</f>
        <v/>
      </c>
      <c r="AQ237">
        <f>IF(Datos!A237="","",IF(Datos!J237="","",Datos!J237))</f>
        <v/>
      </c>
      <c r="AR237">
        <f>IF(OR(Datos!A237="",AQ237=""),"",MAX(0,AQ237-AP237))</f>
        <v/>
      </c>
      <c r="AS237" s="10">
        <f>IF(OR(Datos!A237="",AQ237=""),"",AR237*C237)</f>
        <v/>
      </c>
      <c r="AT237" s="12">
        <f>IF(OR(Datos!A237="",AQ237=""),"",IF(AQ237&lt;AO237,"SI",""))</f>
        <v/>
      </c>
      <c r="AU237">
        <f>IF(Datos!A237="","",IF(AT237="SI","Reponer ahora",IF(AND(AQ237&lt;&gt;"",AR237&gt;0),"Bajar "&amp;TEXT(AR237,"#,##0")&amp;" un.","En rango")))</f>
        <v/>
      </c>
    </row>
    <row r="238">
      <c r="A238">
        <f>IF(Datos!A238="","",Datos!A238)</f>
        <v/>
      </c>
      <c r="B238">
        <f>IF(Datos!A238="","",Datos!B238)</f>
        <v/>
      </c>
      <c r="C238">
        <f>IF(Datos!A238="","",IFERROR(MAX(0,N(Datos!D238)),0))</f>
        <v/>
      </c>
      <c r="D238">
        <f>IF(Datos!A238="","",IFERROR(MAX(0,N(Datos!E238)),0))</f>
        <v/>
      </c>
      <c r="E238">
        <f>IF(Datos!A238="","",IFERROR(MAX(0,N(Datos!F238)),0))</f>
        <v/>
      </c>
      <c r="F238">
        <f>IF(Datos!A238="","",IFERROR(MAX(0,N(Datos!G238)),0))</f>
        <v/>
      </c>
      <c r="G238">
        <f>IF(Datos!A238="","",IFERROR(MAX(0,N(Datos!H238)),0))</f>
        <v/>
      </c>
      <c r="H238">
        <f>IF(Datos!A238="","",IFERROR(MAX(0,N(Datos!I238)),0))</f>
        <v/>
      </c>
      <c r="J238">
        <f>IF(Datos!A238="","",IF(MAX(C$2:C$301)-MIN(C$2:C$301)&lt;0.000000001,0.5,(C238-MIN(C$2:C$301))/(MAX(C$2:C$301)-MIN(C$2:C$301)))+0.000000001)</f>
        <v/>
      </c>
      <c r="K238">
        <f>IF(Datos!A238="","",IF(MAX(D$2:D$301)-MIN(D$2:D$301)&lt;0.000000001,0.5,(D238-MIN(D$2:D$301))/(MAX(D$2:D$301)-MIN(D$2:D$301)))+0.000000001)</f>
        <v/>
      </c>
      <c r="L238">
        <f>IF(Datos!A238="","",IF(MAX(E$2:E$301)-MIN(E$2:E$301)&lt;0.000000001,0.5,(E238-MIN(E$2:E$301))/(MAX(E$2:E$301)-MIN(E$2:E$301)))+0.000000001)</f>
        <v/>
      </c>
      <c r="M238">
        <f>IF(Datos!A238="","",IF(MAX(F$2:F$301)-MIN(F$2:F$301)&lt;0.000000001,0.5,(F238-MIN(F$2:F$301))/(MAX(F$2:F$301)-MIN(F$2:F$301)))+0.000000001)</f>
        <v/>
      </c>
      <c r="N238">
        <f>IF(Datos!A238="","",IF(MAX(G$2:G$301)-MIN(G$2:G$301)&lt;0.000000001,0.5,(G238-MIN(G$2:G$301))/(MAX(G$2:G$301)-MIN(G$2:G$301)))+0.000000001)</f>
        <v/>
      </c>
      <c r="O238">
        <f>IF(Datos!A238="","",IF(MAX(H$2:H$301)-MIN(H$2:H$301)&lt;0.000000001,0.5,(H238-MIN(H$2:H$301))/(MAX(H$2:H$301)-MIN(H$2:H$301)))+0.000000001)</f>
        <v/>
      </c>
      <c r="Q238">
        <f>IF(Datos!A238="","",(J238/SUM(J$2:J$301))*LN(J238/SUM(J$2:J$301)))</f>
        <v/>
      </c>
      <c r="R238">
        <f>IF(Datos!A238="","",(K238/SUM(K$2:K$301))*LN(K238/SUM(K$2:K$301)))</f>
        <v/>
      </c>
      <c r="S238">
        <f>IF(Datos!A238="","",(L238/SUM(L$2:L$301))*LN(L238/SUM(L$2:L$301)))</f>
        <v/>
      </c>
      <c r="T238">
        <f>IF(Datos!A238="","",(M238/SUM(M$2:M$301))*LN(M238/SUM(M$2:M$301)))</f>
        <v/>
      </c>
      <c r="U238">
        <f>IF(Datos!A238="","",(N238/SUM(N$2:N$301))*LN(N238/SUM(N$2:N$301)))</f>
        <v/>
      </c>
      <c r="V238">
        <f>IF(Datos!A238="","",(O238/SUM(O$2:O$301))*LN(O238/SUM(O$2:O$301)))</f>
        <v/>
      </c>
      <c r="X238">
        <f>IF(Datos!A238="","",IF(SUMSQ(C$2:C$301)=0,0,C238/SQRT(SUMSQ(C$2:C$301)))*$BE$2)</f>
        <v/>
      </c>
      <c r="Y238">
        <f>IF(Datos!A238="","",IF(SUMSQ(D$2:D$301)=0,0,D238/SQRT(SUMSQ(D$2:D$301)))*$BE$3)</f>
        <v/>
      </c>
      <c r="Z238">
        <f>IF(Datos!A238="","",IF(SUMSQ(E$2:E$301)=0,0,E238/SQRT(SUMSQ(E$2:E$301)))*$BE$4)</f>
        <v/>
      </c>
      <c r="AA238">
        <f>IF(Datos!A238="","",IF(SUMSQ(F$2:F$301)=0,0,F238/SQRT(SUMSQ(F$2:F$301)))*$BE$5)</f>
        <v/>
      </c>
      <c r="AB238">
        <f>IF(Datos!A238="","",IF(SUMSQ(G$2:G$301)=0,0,G238/SQRT(SUMSQ(G$2:G$301)))*$BE$6)</f>
        <v/>
      </c>
      <c r="AC238">
        <f>IF(Datos!A238="","",IF(SUMSQ(H$2:H$301)=0,0,H238/SQRT(SUMSQ(H$2:H$301)))*$BE$7)</f>
        <v/>
      </c>
      <c r="AE238">
        <f>IF(Datos!A238="","",SQRT(SUMXMY2(X238:AC238,$X$303:$AC$303)))</f>
        <v/>
      </c>
      <c r="AF238">
        <f>IF(Datos!A238="","",SQRT(SUMXMY2(X238:AC238,$X$304:$AC$304)))</f>
        <v/>
      </c>
      <c r="AG238" s="11">
        <f>IF(Datos!A238="","",IF(AE238+AF238&lt;0.000000001,0.5,AF238/(AE238+AF238)))</f>
        <v/>
      </c>
      <c r="AH238">
        <f>IF(Datos!A238="","",AG238*MAX(C238*D238,1))</f>
        <v/>
      </c>
      <c r="AI238">
        <f>IF(Datos!A238="","",SUMIF($AH$2:$AH$301,"&gt;="&amp;AH238,$AH$2:$AH$301)/SUM($AH$2:$AH$301))</f>
        <v/>
      </c>
      <c r="AJ238" s="12">
        <f>IF(Datos!A238="","",IF(AI238&lt;=Parametros!$B$13,"A",IF(AI238&lt;=Parametros!$B$14,"B","C")))</f>
        <v/>
      </c>
      <c r="AK238" s="13">
        <f>IF(Datos!A238="","",VLOOKUP(AJ238,Parametros!$A$8:$C$10,2,FALSE))</f>
        <v/>
      </c>
      <c r="AL238">
        <f>IF(Datos!A238="","",VLOOKUP(AJ238,Parametros!$A$8:$C$10,3,FALSE))</f>
        <v/>
      </c>
      <c r="AM238">
        <f>IF(Datos!A238="","",NORMSINV(AK238))</f>
        <v/>
      </c>
      <c r="AN238">
        <f>IF(Datos!A238="","",D238/Parametros!$B$4)</f>
        <v/>
      </c>
      <c r="AO238">
        <f>IF(Datos!A238="","",MAX(0,ROUNDUP(AM238*(AN238*Parametros!$B$3)*SQRT((AL238+E238)),0)))</f>
        <v/>
      </c>
      <c r="AP238">
        <f>IF(Datos!A238="","",MAX(1,ROUNDUP(AN238*(AL238+E238)+AM238*(AN238*Parametros!$B$3)*SQRT((AL238+E238)),0)))</f>
        <v/>
      </c>
      <c r="AQ238">
        <f>IF(Datos!A238="","",IF(Datos!J238="","",Datos!J238))</f>
        <v/>
      </c>
      <c r="AR238">
        <f>IF(OR(Datos!A238="",AQ238=""),"",MAX(0,AQ238-AP238))</f>
        <v/>
      </c>
      <c r="AS238" s="10">
        <f>IF(OR(Datos!A238="",AQ238=""),"",AR238*C238)</f>
        <v/>
      </c>
      <c r="AT238" s="12">
        <f>IF(OR(Datos!A238="",AQ238=""),"",IF(AQ238&lt;AO238,"SI",""))</f>
        <v/>
      </c>
      <c r="AU238">
        <f>IF(Datos!A238="","",IF(AT238="SI","Reponer ahora",IF(AND(AQ238&lt;&gt;"",AR238&gt;0),"Bajar "&amp;TEXT(AR238,"#,##0")&amp;" un.","En rango")))</f>
        <v/>
      </c>
    </row>
    <row r="239">
      <c r="A239">
        <f>IF(Datos!A239="","",Datos!A239)</f>
        <v/>
      </c>
      <c r="B239">
        <f>IF(Datos!A239="","",Datos!B239)</f>
        <v/>
      </c>
      <c r="C239">
        <f>IF(Datos!A239="","",IFERROR(MAX(0,N(Datos!D239)),0))</f>
        <v/>
      </c>
      <c r="D239">
        <f>IF(Datos!A239="","",IFERROR(MAX(0,N(Datos!E239)),0))</f>
        <v/>
      </c>
      <c r="E239">
        <f>IF(Datos!A239="","",IFERROR(MAX(0,N(Datos!F239)),0))</f>
        <v/>
      </c>
      <c r="F239">
        <f>IF(Datos!A239="","",IFERROR(MAX(0,N(Datos!G239)),0))</f>
        <v/>
      </c>
      <c r="G239">
        <f>IF(Datos!A239="","",IFERROR(MAX(0,N(Datos!H239)),0))</f>
        <v/>
      </c>
      <c r="H239">
        <f>IF(Datos!A239="","",IFERROR(MAX(0,N(Datos!I239)),0))</f>
        <v/>
      </c>
      <c r="J239">
        <f>IF(Datos!A239="","",IF(MAX(C$2:C$301)-MIN(C$2:C$301)&lt;0.000000001,0.5,(C239-MIN(C$2:C$301))/(MAX(C$2:C$301)-MIN(C$2:C$301)))+0.000000001)</f>
        <v/>
      </c>
      <c r="K239">
        <f>IF(Datos!A239="","",IF(MAX(D$2:D$301)-MIN(D$2:D$301)&lt;0.000000001,0.5,(D239-MIN(D$2:D$301))/(MAX(D$2:D$301)-MIN(D$2:D$301)))+0.000000001)</f>
        <v/>
      </c>
      <c r="L239">
        <f>IF(Datos!A239="","",IF(MAX(E$2:E$301)-MIN(E$2:E$301)&lt;0.000000001,0.5,(E239-MIN(E$2:E$301))/(MAX(E$2:E$301)-MIN(E$2:E$301)))+0.000000001)</f>
        <v/>
      </c>
      <c r="M239">
        <f>IF(Datos!A239="","",IF(MAX(F$2:F$301)-MIN(F$2:F$301)&lt;0.000000001,0.5,(F239-MIN(F$2:F$301))/(MAX(F$2:F$301)-MIN(F$2:F$301)))+0.000000001)</f>
        <v/>
      </c>
      <c r="N239">
        <f>IF(Datos!A239="","",IF(MAX(G$2:G$301)-MIN(G$2:G$301)&lt;0.000000001,0.5,(G239-MIN(G$2:G$301))/(MAX(G$2:G$301)-MIN(G$2:G$301)))+0.000000001)</f>
        <v/>
      </c>
      <c r="O239">
        <f>IF(Datos!A239="","",IF(MAX(H$2:H$301)-MIN(H$2:H$301)&lt;0.000000001,0.5,(H239-MIN(H$2:H$301))/(MAX(H$2:H$301)-MIN(H$2:H$301)))+0.000000001)</f>
        <v/>
      </c>
      <c r="Q239">
        <f>IF(Datos!A239="","",(J239/SUM(J$2:J$301))*LN(J239/SUM(J$2:J$301)))</f>
        <v/>
      </c>
      <c r="R239">
        <f>IF(Datos!A239="","",(K239/SUM(K$2:K$301))*LN(K239/SUM(K$2:K$301)))</f>
        <v/>
      </c>
      <c r="S239">
        <f>IF(Datos!A239="","",(L239/SUM(L$2:L$301))*LN(L239/SUM(L$2:L$301)))</f>
        <v/>
      </c>
      <c r="T239">
        <f>IF(Datos!A239="","",(M239/SUM(M$2:M$301))*LN(M239/SUM(M$2:M$301)))</f>
        <v/>
      </c>
      <c r="U239">
        <f>IF(Datos!A239="","",(N239/SUM(N$2:N$301))*LN(N239/SUM(N$2:N$301)))</f>
        <v/>
      </c>
      <c r="V239">
        <f>IF(Datos!A239="","",(O239/SUM(O$2:O$301))*LN(O239/SUM(O$2:O$301)))</f>
        <v/>
      </c>
      <c r="X239">
        <f>IF(Datos!A239="","",IF(SUMSQ(C$2:C$301)=0,0,C239/SQRT(SUMSQ(C$2:C$301)))*$BE$2)</f>
        <v/>
      </c>
      <c r="Y239">
        <f>IF(Datos!A239="","",IF(SUMSQ(D$2:D$301)=0,0,D239/SQRT(SUMSQ(D$2:D$301)))*$BE$3)</f>
        <v/>
      </c>
      <c r="Z239">
        <f>IF(Datos!A239="","",IF(SUMSQ(E$2:E$301)=0,0,E239/SQRT(SUMSQ(E$2:E$301)))*$BE$4)</f>
        <v/>
      </c>
      <c r="AA239">
        <f>IF(Datos!A239="","",IF(SUMSQ(F$2:F$301)=0,0,F239/SQRT(SUMSQ(F$2:F$301)))*$BE$5)</f>
        <v/>
      </c>
      <c r="AB239">
        <f>IF(Datos!A239="","",IF(SUMSQ(G$2:G$301)=0,0,G239/SQRT(SUMSQ(G$2:G$301)))*$BE$6)</f>
        <v/>
      </c>
      <c r="AC239">
        <f>IF(Datos!A239="","",IF(SUMSQ(H$2:H$301)=0,0,H239/SQRT(SUMSQ(H$2:H$301)))*$BE$7)</f>
        <v/>
      </c>
      <c r="AE239">
        <f>IF(Datos!A239="","",SQRT(SUMXMY2(X239:AC239,$X$303:$AC$303)))</f>
        <v/>
      </c>
      <c r="AF239">
        <f>IF(Datos!A239="","",SQRT(SUMXMY2(X239:AC239,$X$304:$AC$304)))</f>
        <v/>
      </c>
      <c r="AG239" s="11">
        <f>IF(Datos!A239="","",IF(AE239+AF239&lt;0.000000001,0.5,AF239/(AE239+AF239)))</f>
        <v/>
      </c>
      <c r="AH239">
        <f>IF(Datos!A239="","",AG239*MAX(C239*D239,1))</f>
        <v/>
      </c>
      <c r="AI239">
        <f>IF(Datos!A239="","",SUMIF($AH$2:$AH$301,"&gt;="&amp;AH239,$AH$2:$AH$301)/SUM($AH$2:$AH$301))</f>
        <v/>
      </c>
      <c r="AJ239" s="12">
        <f>IF(Datos!A239="","",IF(AI239&lt;=Parametros!$B$13,"A",IF(AI239&lt;=Parametros!$B$14,"B","C")))</f>
        <v/>
      </c>
      <c r="AK239" s="13">
        <f>IF(Datos!A239="","",VLOOKUP(AJ239,Parametros!$A$8:$C$10,2,FALSE))</f>
        <v/>
      </c>
      <c r="AL239">
        <f>IF(Datos!A239="","",VLOOKUP(AJ239,Parametros!$A$8:$C$10,3,FALSE))</f>
        <v/>
      </c>
      <c r="AM239">
        <f>IF(Datos!A239="","",NORMSINV(AK239))</f>
        <v/>
      </c>
      <c r="AN239">
        <f>IF(Datos!A239="","",D239/Parametros!$B$4)</f>
        <v/>
      </c>
      <c r="AO239">
        <f>IF(Datos!A239="","",MAX(0,ROUNDUP(AM239*(AN239*Parametros!$B$3)*SQRT((AL239+E239)),0)))</f>
        <v/>
      </c>
      <c r="AP239">
        <f>IF(Datos!A239="","",MAX(1,ROUNDUP(AN239*(AL239+E239)+AM239*(AN239*Parametros!$B$3)*SQRT((AL239+E239)),0)))</f>
        <v/>
      </c>
      <c r="AQ239">
        <f>IF(Datos!A239="","",IF(Datos!J239="","",Datos!J239))</f>
        <v/>
      </c>
      <c r="AR239">
        <f>IF(OR(Datos!A239="",AQ239=""),"",MAX(0,AQ239-AP239))</f>
        <v/>
      </c>
      <c r="AS239" s="10">
        <f>IF(OR(Datos!A239="",AQ239=""),"",AR239*C239)</f>
        <v/>
      </c>
      <c r="AT239" s="12">
        <f>IF(OR(Datos!A239="",AQ239=""),"",IF(AQ239&lt;AO239,"SI",""))</f>
        <v/>
      </c>
      <c r="AU239">
        <f>IF(Datos!A239="","",IF(AT239="SI","Reponer ahora",IF(AND(AQ239&lt;&gt;"",AR239&gt;0),"Bajar "&amp;TEXT(AR239,"#,##0")&amp;" un.","En rango")))</f>
        <v/>
      </c>
    </row>
    <row r="240">
      <c r="A240">
        <f>IF(Datos!A240="","",Datos!A240)</f>
        <v/>
      </c>
      <c r="B240">
        <f>IF(Datos!A240="","",Datos!B240)</f>
        <v/>
      </c>
      <c r="C240">
        <f>IF(Datos!A240="","",IFERROR(MAX(0,N(Datos!D240)),0))</f>
        <v/>
      </c>
      <c r="D240">
        <f>IF(Datos!A240="","",IFERROR(MAX(0,N(Datos!E240)),0))</f>
        <v/>
      </c>
      <c r="E240">
        <f>IF(Datos!A240="","",IFERROR(MAX(0,N(Datos!F240)),0))</f>
        <v/>
      </c>
      <c r="F240">
        <f>IF(Datos!A240="","",IFERROR(MAX(0,N(Datos!G240)),0))</f>
        <v/>
      </c>
      <c r="G240">
        <f>IF(Datos!A240="","",IFERROR(MAX(0,N(Datos!H240)),0))</f>
        <v/>
      </c>
      <c r="H240">
        <f>IF(Datos!A240="","",IFERROR(MAX(0,N(Datos!I240)),0))</f>
        <v/>
      </c>
      <c r="J240">
        <f>IF(Datos!A240="","",IF(MAX(C$2:C$301)-MIN(C$2:C$301)&lt;0.000000001,0.5,(C240-MIN(C$2:C$301))/(MAX(C$2:C$301)-MIN(C$2:C$301)))+0.000000001)</f>
        <v/>
      </c>
      <c r="K240">
        <f>IF(Datos!A240="","",IF(MAX(D$2:D$301)-MIN(D$2:D$301)&lt;0.000000001,0.5,(D240-MIN(D$2:D$301))/(MAX(D$2:D$301)-MIN(D$2:D$301)))+0.000000001)</f>
        <v/>
      </c>
      <c r="L240">
        <f>IF(Datos!A240="","",IF(MAX(E$2:E$301)-MIN(E$2:E$301)&lt;0.000000001,0.5,(E240-MIN(E$2:E$301))/(MAX(E$2:E$301)-MIN(E$2:E$301)))+0.000000001)</f>
        <v/>
      </c>
      <c r="M240">
        <f>IF(Datos!A240="","",IF(MAX(F$2:F$301)-MIN(F$2:F$301)&lt;0.000000001,0.5,(F240-MIN(F$2:F$301))/(MAX(F$2:F$301)-MIN(F$2:F$301)))+0.000000001)</f>
        <v/>
      </c>
      <c r="N240">
        <f>IF(Datos!A240="","",IF(MAX(G$2:G$301)-MIN(G$2:G$301)&lt;0.000000001,0.5,(G240-MIN(G$2:G$301))/(MAX(G$2:G$301)-MIN(G$2:G$301)))+0.000000001)</f>
        <v/>
      </c>
      <c r="O240">
        <f>IF(Datos!A240="","",IF(MAX(H$2:H$301)-MIN(H$2:H$301)&lt;0.000000001,0.5,(H240-MIN(H$2:H$301))/(MAX(H$2:H$301)-MIN(H$2:H$301)))+0.000000001)</f>
        <v/>
      </c>
      <c r="Q240">
        <f>IF(Datos!A240="","",(J240/SUM(J$2:J$301))*LN(J240/SUM(J$2:J$301)))</f>
        <v/>
      </c>
      <c r="R240">
        <f>IF(Datos!A240="","",(K240/SUM(K$2:K$301))*LN(K240/SUM(K$2:K$301)))</f>
        <v/>
      </c>
      <c r="S240">
        <f>IF(Datos!A240="","",(L240/SUM(L$2:L$301))*LN(L240/SUM(L$2:L$301)))</f>
        <v/>
      </c>
      <c r="T240">
        <f>IF(Datos!A240="","",(M240/SUM(M$2:M$301))*LN(M240/SUM(M$2:M$301)))</f>
        <v/>
      </c>
      <c r="U240">
        <f>IF(Datos!A240="","",(N240/SUM(N$2:N$301))*LN(N240/SUM(N$2:N$301)))</f>
        <v/>
      </c>
      <c r="V240">
        <f>IF(Datos!A240="","",(O240/SUM(O$2:O$301))*LN(O240/SUM(O$2:O$301)))</f>
        <v/>
      </c>
      <c r="X240">
        <f>IF(Datos!A240="","",IF(SUMSQ(C$2:C$301)=0,0,C240/SQRT(SUMSQ(C$2:C$301)))*$BE$2)</f>
        <v/>
      </c>
      <c r="Y240">
        <f>IF(Datos!A240="","",IF(SUMSQ(D$2:D$301)=0,0,D240/SQRT(SUMSQ(D$2:D$301)))*$BE$3)</f>
        <v/>
      </c>
      <c r="Z240">
        <f>IF(Datos!A240="","",IF(SUMSQ(E$2:E$301)=0,0,E240/SQRT(SUMSQ(E$2:E$301)))*$BE$4)</f>
        <v/>
      </c>
      <c r="AA240">
        <f>IF(Datos!A240="","",IF(SUMSQ(F$2:F$301)=0,0,F240/SQRT(SUMSQ(F$2:F$301)))*$BE$5)</f>
        <v/>
      </c>
      <c r="AB240">
        <f>IF(Datos!A240="","",IF(SUMSQ(G$2:G$301)=0,0,G240/SQRT(SUMSQ(G$2:G$301)))*$BE$6)</f>
        <v/>
      </c>
      <c r="AC240">
        <f>IF(Datos!A240="","",IF(SUMSQ(H$2:H$301)=0,0,H240/SQRT(SUMSQ(H$2:H$301)))*$BE$7)</f>
        <v/>
      </c>
      <c r="AE240">
        <f>IF(Datos!A240="","",SQRT(SUMXMY2(X240:AC240,$X$303:$AC$303)))</f>
        <v/>
      </c>
      <c r="AF240">
        <f>IF(Datos!A240="","",SQRT(SUMXMY2(X240:AC240,$X$304:$AC$304)))</f>
        <v/>
      </c>
      <c r="AG240" s="11">
        <f>IF(Datos!A240="","",IF(AE240+AF240&lt;0.000000001,0.5,AF240/(AE240+AF240)))</f>
        <v/>
      </c>
      <c r="AH240">
        <f>IF(Datos!A240="","",AG240*MAX(C240*D240,1))</f>
        <v/>
      </c>
      <c r="AI240">
        <f>IF(Datos!A240="","",SUMIF($AH$2:$AH$301,"&gt;="&amp;AH240,$AH$2:$AH$301)/SUM($AH$2:$AH$301))</f>
        <v/>
      </c>
      <c r="AJ240" s="12">
        <f>IF(Datos!A240="","",IF(AI240&lt;=Parametros!$B$13,"A",IF(AI240&lt;=Parametros!$B$14,"B","C")))</f>
        <v/>
      </c>
      <c r="AK240" s="13">
        <f>IF(Datos!A240="","",VLOOKUP(AJ240,Parametros!$A$8:$C$10,2,FALSE))</f>
        <v/>
      </c>
      <c r="AL240">
        <f>IF(Datos!A240="","",VLOOKUP(AJ240,Parametros!$A$8:$C$10,3,FALSE))</f>
        <v/>
      </c>
      <c r="AM240">
        <f>IF(Datos!A240="","",NORMSINV(AK240))</f>
        <v/>
      </c>
      <c r="AN240">
        <f>IF(Datos!A240="","",D240/Parametros!$B$4)</f>
        <v/>
      </c>
      <c r="AO240">
        <f>IF(Datos!A240="","",MAX(0,ROUNDUP(AM240*(AN240*Parametros!$B$3)*SQRT((AL240+E240)),0)))</f>
        <v/>
      </c>
      <c r="AP240">
        <f>IF(Datos!A240="","",MAX(1,ROUNDUP(AN240*(AL240+E240)+AM240*(AN240*Parametros!$B$3)*SQRT((AL240+E240)),0)))</f>
        <v/>
      </c>
      <c r="AQ240">
        <f>IF(Datos!A240="","",IF(Datos!J240="","",Datos!J240))</f>
        <v/>
      </c>
      <c r="AR240">
        <f>IF(OR(Datos!A240="",AQ240=""),"",MAX(0,AQ240-AP240))</f>
        <v/>
      </c>
      <c r="AS240" s="10">
        <f>IF(OR(Datos!A240="",AQ240=""),"",AR240*C240)</f>
        <v/>
      </c>
      <c r="AT240" s="12">
        <f>IF(OR(Datos!A240="",AQ240=""),"",IF(AQ240&lt;AO240,"SI",""))</f>
        <v/>
      </c>
      <c r="AU240">
        <f>IF(Datos!A240="","",IF(AT240="SI","Reponer ahora",IF(AND(AQ240&lt;&gt;"",AR240&gt;0),"Bajar "&amp;TEXT(AR240,"#,##0")&amp;" un.","En rango")))</f>
        <v/>
      </c>
    </row>
    <row r="241">
      <c r="A241">
        <f>IF(Datos!A241="","",Datos!A241)</f>
        <v/>
      </c>
      <c r="B241">
        <f>IF(Datos!A241="","",Datos!B241)</f>
        <v/>
      </c>
      <c r="C241">
        <f>IF(Datos!A241="","",IFERROR(MAX(0,N(Datos!D241)),0))</f>
        <v/>
      </c>
      <c r="D241">
        <f>IF(Datos!A241="","",IFERROR(MAX(0,N(Datos!E241)),0))</f>
        <v/>
      </c>
      <c r="E241">
        <f>IF(Datos!A241="","",IFERROR(MAX(0,N(Datos!F241)),0))</f>
        <v/>
      </c>
      <c r="F241">
        <f>IF(Datos!A241="","",IFERROR(MAX(0,N(Datos!G241)),0))</f>
        <v/>
      </c>
      <c r="G241">
        <f>IF(Datos!A241="","",IFERROR(MAX(0,N(Datos!H241)),0))</f>
        <v/>
      </c>
      <c r="H241">
        <f>IF(Datos!A241="","",IFERROR(MAX(0,N(Datos!I241)),0))</f>
        <v/>
      </c>
      <c r="J241">
        <f>IF(Datos!A241="","",IF(MAX(C$2:C$301)-MIN(C$2:C$301)&lt;0.000000001,0.5,(C241-MIN(C$2:C$301))/(MAX(C$2:C$301)-MIN(C$2:C$301)))+0.000000001)</f>
        <v/>
      </c>
      <c r="K241">
        <f>IF(Datos!A241="","",IF(MAX(D$2:D$301)-MIN(D$2:D$301)&lt;0.000000001,0.5,(D241-MIN(D$2:D$301))/(MAX(D$2:D$301)-MIN(D$2:D$301)))+0.000000001)</f>
        <v/>
      </c>
      <c r="L241">
        <f>IF(Datos!A241="","",IF(MAX(E$2:E$301)-MIN(E$2:E$301)&lt;0.000000001,0.5,(E241-MIN(E$2:E$301))/(MAX(E$2:E$301)-MIN(E$2:E$301)))+0.000000001)</f>
        <v/>
      </c>
      <c r="M241">
        <f>IF(Datos!A241="","",IF(MAX(F$2:F$301)-MIN(F$2:F$301)&lt;0.000000001,0.5,(F241-MIN(F$2:F$301))/(MAX(F$2:F$301)-MIN(F$2:F$301)))+0.000000001)</f>
        <v/>
      </c>
      <c r="N241">
        <f>IF(Datos!A241="","",IF(MAX(G$2:G$301)-MIN(G$2:G$301)&lt;0.000000001,0.5,(G241-MIN(G$2:G$301))/(MAX(G$2:G$301)-MIN(G$2:G$301)))+0.000000001)</f>
        <v/>
      </c>
      <c r="O241">
        <f>IF(Datos!A241="","",IF(MAX(H$2:H$301)-MIN(H$2:H$301)&lt;0.000000001,0.5,(H241-MIN(H$2:H$301))/(MAX(H$2:H$301)-MIN(H$2:H$301)))+0.000000001)</f>
        <v/>
      </c>
      <c r="Q241">
        <f>IF(Datos!A241="","",(J241/SUM(J$2:J$301))*LN(J241/SUM(J$2:J$301)))</f>
        <v/>
      </c>
      <c r="R241">
        <f>IF(Datos!A241="","",(K241/SUM(K$2:K$301))*LN(K241/SUM(K$2:K$301)))</f>
        <v/>
      </c>
      <c r="S241">
        <f>IF(Datos!A241="","",(L241/SUM(L$2:L$301))*LN(L241/SUM(L$2:L$301)))</f>
        <v/>
      </c>
      <c r="T241">
        <f>IF(Datos!A241="","",(M241/SUM(M$2:M$301))*LN(M241/SUM(M$2:M$301)))</f>
        <v/>
      </c>
      <c r="U241">
        <f>IF(Datos!A241="","",(N241/SUM(N$2:N$301))*LN(N241/SUM(N$2:N$301)))</f>
        <v/>
      </c>
      <c r="V241">
        <f>IF(Datos!A241="","",(O241/SUM(O$2:O$301))*LN(O241/SUM(O$2:O$301)))</f>
        <v/>
      </c>
      <c r="X241">
        <f>IF(Datos!A241="","",IF(SUMSQ(C$2:C$301)=0,0,C241/SQRT(SUMSQ(C$2:C$301)))*$BE$2)</f>
        <v/>
      </c>
      <c r="Y241">
        <f>IF(Datos!A241="","",IF(SUMSQ(D$2:D$301)=0,0,D241/SQRT(SUMSQ(D$2:D$301)))*$BE$3)</f>
        <v/>
      </c>
      <c r="Z241">
        <f>IF(Datos!A241="","",IF(SUMSQ(E$2:E$301)=0,0,E241/SQRT(SUMSQ(E$2:E$301)))*$BE$4)</f>
        <v/>
      </c>
      <c r="AA241">
        <f>IF(Datos!A241="","",IF(SUMSQ(F$2:F$301)=0,0,F241/SQRT(SUMSQ(F$2:F$301)))*$BE$5)</f>
        <v/>
      </c>
      <c r="AB241">
        <f>IF(Datos!A241="","",IF(SUMSQ(G$2:G$301)=0,0,G241/SQRT(SUMSQ(G$2:G$301)))*$BE$6)</f>
        <v/>
      </c>
      <c r="AC241">
        <f>IF(Datos!A241="","",IF(SUMSQ(H$2:H$301)=0,0,H241/SQRT(SUMSQ(H$2:H$301)))*$BE$7)</f>
        <v/>
      </c>
      <c r="AE241">
        <f>IF(Datos!A241="","",SQRT(SUMXMY2(X241:AC241,$X$303:$AC$303)))</f>
        <v/>
      </c>
      <c r="AF241">
        <f>IF(Datos!A241="","",SQRT(SUMXMY2(X241:AC241,$X$304:$AC$304)))</f>
        <v/>
      </c>
      <c r="AG241" s="11">
        <f>IF(Datos!A241="","",IF(AE241+AF241&lt;0.000000001,0.5,AF241/(AE241+AF241)))</f>
        <v/>
      </c>
      <c r="AH241">
        <f>IF(Datos!A241="","",AG241*MAX(C241*D241,1))</f>
        <v/>
      </c>
      <c r="AI241">
        <f>IF(Datos!A241="","",SUMIF($AH$2:$AH$301,"&gt;="&amp;AH241,$AH$2:$AH$301)/SUM($AH$2:$AH$301))</f>
        <v/>
      </c>
      <c r="AJ241" s="12">
        <f>IF(Datos!A241="","",IF(AI241&lt;=Parametros!$B$13,"A",IF(AI241&lt;=Parametros!$B$14,"B","C")))</f>
        <v/>
      </c>
      <c r="AK241" s="13">
        <f>IF(Datos!A241="","",VLOOKUP(AJ241,Parametros!$A$8:$C$10,2,FALSE))</f>
        <v/>
      </c>
      <c r="AL241">
        <f>IF(Datos!A241="","",VLOOKUP(AJ241,Parametros!$A$8:$C$10,3,FALSE))</f>
        <v/>
      </c>
      <c r="AM241">
        <f>IF(Datos!A241="","",NORMSINV(AK241))</f>
        <v/>
      </c>
      <c r="AN241">
        <f>IF(Datos!A241="","",D241/Parametros!$B$4)</f>
        <v/>
      </c>
      <c r="AO241">
        <f>IF(Datos!A241="","",MAX(0,ROUNDUP(AM241*(AN241*Parametros!$B$3)*SQRT((AL241+E241)),0)))</f>
        <v/>
      </c>
      <c r="AP241">
        <f>IF(Datos!A241="","",MAX(1,ROUNDUP(AN241*(AL241+E241)+AM241*(AN241*Parametros!$B$3)*SQRT((AL241+E241)),0)))</f>
        <v/>
      </c>
      <c r="AQ241">
        <f>IF(Datos!A241="","",IF(Datos!J241="","",Datos!J241))</f>
        <v/>
      </c>
      <c r="AR241">
        <f>IF(OR(Datos!A241="",AQ241=""),"",MAX(0,AQ241-AP241))</f>
        <v/>
      </c>
      <c r="AS241" s="10">
        <f>IF(OR(Datos!A241="",AQ241=""),"",AR241*C241)</f>
        <v/>
      </c>
      <c r="AT241" s="12">
        <f>IF(OR(Datos!A241="",AQ241=""),"",IF(AQ241&lt;AO241,"SI",""))</f>
        <v/>
      </c>
      <c r="AU241">
        <f>IF(Datos!A241="","",IF(AT241="SI","Reponer ahora",IF(AND(AQ241&lt;&gt;"",AR241&gt;0),"Bajar "&amp;TEXT(AR241,"#,##0")&amp;" un.","En rango")))</f>
        <v/>
      </c>
    </row>
    <row r="242">
      <c r="A242">
        <f>IF(Datos!A242="","",Datos!A242)</f>
        <v/>
      </c>
      <c r="B242">
        <f>IF(Datos!A242="","",Datos!B242)</f>
        <v/>
      </c>
      <c r="C242">
        <f>IF(Datos!A242="","",IFERROR(MAX(0,N(Datos!D242)),0))</f>
        <v/>
      </c>
      <c r="D242">
        <f>IF(Datos!A242="","",IFERROR(MAX(0,N(Datos!E242)),0))</f>
        <v/>
      </c>
      <c r="E242">
        <f>IF(Datos!A242="","",IFERROR(MAX(0,N(Datos!F242)),0))</f>
        <v/>
      </c>
      <c r="F242">
        <f>IF(Datos!A242="","",IFERROR(MAX(0,N(Datos!G242)),0))</f>
        <v/>
      </c>
      <c r="G242">
        <f>IF(Datos!A242="","",IFERROR(MAX(0,N(Datos!H242)),0))</f>
        <v/>
      </c>
      <c r="H242">
        <f>IF(Datos!A242="","",IFERROR(MAX(0,N(Datos!I242)),0))</f>
        <v/>
      </c>
      <c r="J242">
        <f>IF(Datos!A242="","",IF(MAX(C$2:C$301)-MIN(C$2:C$301)&lt;0.000000001,0.5,(C242-MIN(C$2:C$301))/(MAX(C$2:C$301)-MIN(C$2:C$301)))+0.000000001)</f>
        <v/>
      </c>
      <c r="K242">
        <f>IF(Datos!A242="","",IF(MAX(D$2:D$301)-MIN(D$2:D$301)&lt;0.000000001,0.5,(D242-MIN(D$2:D$301))/(MAX(D$2:D$301)-MIN(D$2:D$301)))+0.000000001)</f>
        <v/>
      </c>
      <c r="L242">
        <f>IF(Datos!A242="","",IF(MAX(E$2:E$301)-MIN(E$2:E$301)&lt;0.000000001,0.5,(E242-MIN(E$2:E$301))/(MAX(E$2:E$301)-MIN(E$2:E$301)))+0.000000001)</f>
        <v/>
      </c>
      <c r="M242">
        <f>IF(Datos!A242="","",IF(MAX(F$2:F$301)-MIN(F$2:F$301)&lt;0.000000001,0.5,(F242-MIN(F$2:F$301))/(MAX(F$2:F$301)-MIN(F$2:F$301)))+0.000000001)</f>
        <v/>
      </c>
      <c r="N242">
        <f>IF(Datos!A242="","",IF(MAX(G$2:G$301)-MIN(G$2:G$301)&lt;0.000000001,0.5,(G242-MIN(G$2:G$301))/(MAX(G$2:G$301)-MIN(G$2:G$301)))+0.000000001)</f>
        <v/>
      </c>
      <c r="O242">
        <f>IF(Datos!A242="","",IF(MAX(H$2:H$301)-MIN(H$2:H$301)&lt;0.000000001,0.5,(H242-MIN(H$2:H$301))/(MAX(H$2:H$301)-MIN(H$2:H$301)))+0.000000001)</f>
        <v/>
      </c>
      <c r="Q242">
        <f>IF(Datos!A242="","",(J242/SUM(J$2:J$301))*LN(J242/SUM(J$2:J$301)))</f>
        <v/>
      </c>
      <c r="R242">
        <f>IF(Datos!A242="","",(K242/SUM(K$2:K$301))*LN(K242/SUM(K$2:K$301)))</f>
        <v/>
      </c>
      <c r="S242">
        <f>IF(Datos!A242="","",(L242/SUM(L$2:L$301))*LN(L242/SUM(L$2:L$301)))</f>
        <v/>
      </c>
      <c r="T242">
        <f>IF(Datos!A242="","",(M242/SUM(M$2:M$301))*LN(M242/SUM(M$2:M$301)))</f>
        <v/>
      </c>
      <c r="U242">
        <f>IF(Datos!A242="","",(N242/SUM(N$2:N$301))*LN(N242/SUM(N$2:N$301)))</f>
        <v/>
      </c>
      <c r="V242">
        <f>IF(Datos!A242="","",(O242/SUM(O$2:O$301))*LN(O242/SUM(O$2:O$301)))</f>
        <v/>
      </c>
      <c r="X242">
        <f>IF(Datos!A242="","",IF(SUMSQ(C$2:C$301)=0,0,C242/SQRT(SUMSQ(C$2:C$301)))*$BE$2)</f>
        <v/>
      </c>
      <c r="Y242">
        <f>IF(Datos!A242="","",IF(SUMSQ(D$2:D$301)=0,0,D242/SQRT(SUMSQ(D$2:D$301)))*$BE$3)</f>
        <v/>
      </c>
      <c r="Z242">
        <f>IF(Datos!A242="","",IF(SUMSQ(E$2:E$301)=0,0,E242/SQRT(SUMSQ(E$2:E$301)))*$BE$4)</f>
        <v/>
      </c>
      <c r="AA242">
        <f>IF(Datos!A242="","",IF(SUMSQ(F$2:F$301)=0,0,F242/SQRT(SUMSQ(F$2:F$301)))*$BE$5)</f>
        <v/>
      </c>
      <c r="AB242">
        <f>IF(Datos!A242="","",IF(SUMSQ(G$2:G$301)=0,0,G242/SQRT(SUMSQ(G$2:G$301)))*$BE$6)</f>
        <v/>
      </c>
      <c r="AC242">
        <f>IF(Datos!A242="","",IF(SUMSQ(H$2:H$301)=0,0,H242/SQRT(SUMSQ(H$2:H$301)))*$BE$7)</f>
        <v/>
      </c>
      <c r="AE242">
        <f>IF(Datos!A242="","",SQRT(SUMXMY2(X242:AC242,$X$303:$AC$303)))</f>
        <v/>
      </c>
      <c r="AF242">
        <f>IF(Datos!A242="","",SQRT(SUMXMY2(X242:AC242,$X$304:$AC$304)))</f>
        <v/>
      </c>
      <c r="AG242" s="11">
        <f>IF(Datos!A242="","",IF(AE242+AF242&lt;0.000000001,0.5,AF242/(AE242+AF242)))</f>
        <v/>
      </c>
      <c r="AH242">
        <f>IF(Datos!A242="","",AG242*MAX(C242*D242,1))</f>
        <v/>
      </c>
      <c r="AI242">
        <f>IF(Datos!A242="","",SUMIF($AH$2:$AH$301,"&gt;="&amp;AH242,$AH$2:$AH$301)/SUM($AH$2:$AH$301))</f>
        <v/>
      </c>
      <c r="AJ242" s="12">
        <f>IF(Datos!A242="","",IF(AI242&lt;=Parametros!$B$13,"A",IF(AI242&lt;=Parametros!$B$14,"B","C")))</f>
        <v/>
      </c>
      <c r="AK242" s="13">
        <f>IF(Datos!A242="","",VLOOKUP(AJ242,Parametros!$A$8:$C$10,2,FALSE))</f>
        <v/>
      </c>
      <c r="AL242">
        <f>IF(Datos!A242="","",VLOOKUP(AJ242,Parametros!$A$8:$C$10,3,FALSE))</f>
        <v/>
      </c>
      <c r="AM242">
        <f>IF(Datos!A242="","",NORMSINV(AK242))</f>
        <v/>
      </c>
      <c r="AN242">
        <f>IF(Datos!A242="","",D242/Parametros!$B$4)</f>
        <v/>
      </c>
      <c r="AO242">
        <f>IF(Datos!A242="","",MAX(0,ROUNDUP(AM242*(AN242*Parametros!$B$3)*SQRT((AL242+E242)),0)))</f>
        <v/>
      </c>
      <c r="AP242">
        <f>IF(Datos!A242="","",MAX(1,ROUNDUP(AN242*(AL242+E242)+AM242*(AN242*Parametros!$B$3)*SQRT((AL242+E242)),0)))</f>
        <v/>
      </c>
      <c r="AQ242">
        <f>IF(Datos!A242="","",IF(Datos!J242="","",Datos!J242))</f>
        <v/>
      </c>
      <c r="AR242">
        <f>IF(OR(Datos!A242="",AQ242=""),"",MAX(0,AQ242-AP242))</f>
        <v/>
      </c>
      <c r="AS242" s="10">
        <f>IF(OR(Datos!A242="",AQ242=""),"",AR242*C242)</f>
        <v/>
      </c>
      <c r="AT242" s="12">
        <f>IF(OR(Datos!A242="",AQ242=""),"",IF(AQ242&lt;AO242,"SI",""))</f>
        <v/>
      </c>
      <c r="AU242">
        <f>IF(Datos!A242="","",IF(AT242="SI","Reponer ahora",IF(AND(AQ242&lt;&gt;"",AR242&gt;0),"Bajar "&amp;TEXT(AR242,"#,##0")&amp;" un.","En rango")))</f>
        <v/>
      </c>
    </row>
    <row r="243">
      <c r="A243">
        <f>IF(Datos!A243="","",Datos!A243)</f>
        <v/>
      </c>
      <c r="B243">
        <f>IF(Datos!A243="","",Datos!B243)</f>
        <v/>
      </c>
      <c r="C243">
        <f>IF(Datos!A243="","",IFERROR(MAX(0,N(Datos!D243)),0))</f>
        <v/>
      </c>
      <c r="D243">
        <f>IF(Datos!A243="","",IFERROR(MAX(0,N(Datos!E243)),0))</f>
        <v/>
      </c>
      <c r="E243">
        <f>IF(Datos!A243="","",IFERROR(MAX(0,N(Datos!F243)),0))</f>
        <v/>
      </c>
      <c r="F243">
        <f>IF(Datos!A243="","",IFERROR(MAX(0,N(Datos!G243)),0))</f>
        <v/>
      </c>
      <c r="G243">
        <f>IF(Datos!A243="","",IFERROR(MAX(0,N(Datos!H243)),0))</f>
        <v/>
      </c>
      <c r="H243">
        <f>IF(Datos!A243="","",IFERROR(MAX(0,N(Datos!I243)),0))</f>
        <v/>
      </c>
      <c r="J243">
        <f>IF(Datos!A243="","",IF(MAX(C$2:C$301)-MIN(C$2:C$301)&lt;0.000000001,0.5,(C243-MIN(C$2:C$301))/(MAX(C$2:C$301)-MIN(C$2:C$301)))+0.000000001)</f>
        <v/>
      </c>
      <c r="K243">
        <f>IF(Datos!A243="","",IF(MAX(D$2:D$301)-MIN(D$2:D$301)&lt;0.000000001,0.5,(D243-MIN(D$2:D$301))/(MAX(D$2:D$301)-MIN(D$2:D$301)))+0.000000001)</f>
        <v/>
      </c>
      <c r="L243">
        <f>IF(Datos!A243="","",IF(MAX(E$2:E$301)-MIN(E$2:E$301)&lt;0.000000001,0.5,(E243-MIN(E$2:E$301))/(MAX(E$2:E$301)-MIN(E$2:E$301)))+0.000000001)</f>
        <v/>
      </c>
      <c r="M243">
        <f>IF(Datos!A243="","",IF(MAX(F$2:F$301)-MIN(F$2:F$301)&lt;0.000000001,0.5,(F243-MIN(F$2:F$301))/(MAX(F$2:F$301)-MIN(F$2:F$301)))+0.000000001)</f>
        <v/>
      </c>
      <c r="N243">
        <f>IF(Datos!A243="","",IF(MAX(G$2:G$301)-MIN(G$2:G$301)&lt;0.000000001,0.5,(G243-MIN(G$2:G$301))/(MAX(G$2:G$301)-MIN(G$2:G$301)))+0.000000001)</f>
        <v/>
      </c>
      <c r="O243">
        <f>IF(Datos!A243="","",IF(MAX(H$2:H$301)-MIN(H$2:H$301)&lt;0.000000001,0.5,(H243-MIN(H$2:H$301))/(MAX(H$2:H$301)-MIN(H$2:H$301)))+0.000000001)</f>
        <v/>
      </c>
      <c r="Q243">
        <f>IF(Datos!A243="","",(J243/SUM(J$2:J$301))*LN(J243/SUM(J$2:J$301)))</f>
        <v/>
      </c>
      <c r="R243">
        <f>IF(Datos!A243="","",(K243/SUM(K$2:K$301))*LN(K243/SUM(K$2:K$301)))</f>
        <v/>
      </c>
      <c r="S243">
        <f>IF(Datos!A243="","",(L243/SUM(L$2:L$301))*LN(L243/SUM(L$2:L$301)))</f>
        <v/>
      </c>
      <c r="T243">
        <f>IF(Datos!A243="","",(M243/SUM(M$2:M$301))*LN(M243/SUM(M$2:M$301)))</f>
        <v/>
      </c>
      <c r="U243">
        <f>IF(Datos!A243="","",(N243/SUM(N$2:N$301))*LN(N243/SUM(N$2:N$301)))</f>
        <v/>
      </c>
      <c r="V243">
        <f>IF(Datos!A243="","",(O243/SUM(O$2:O$301))*LN(O243/SUM(O$2:O$301)))</f>
        <v/>
      </c>
      <c r="X243">
        <f>IF(Datos!A243="","",IF(SUMSQ(C$2:C$301)=0,0,C243/SQRT(SUMSQ(C$2:C$301)))*$BE$2)</f>
        <v/>
      </c>
      <c r="Y243">
        <f>IF(Datos!A243="","",IF(SUMSQ(D$2:D$301)=0,0,D243/SQRT(SUMSQ(D$2:D$301)))*$BE$3)</f>
        <v/>
      </c>
      <c r="Z243">
        <f>IF(Datos!A243="","",IF(SUMSQ(E$2:E$301)=0,0,E243/SQRT(SUMSQ(E$2:E$301)))*$BE$4)</f>
        <v/>
      </c>
      <c r="AA243">
        <f>IF(Datos!A243="","",IF(SUMSQ(F$2:F$301)=0,0,F243/SQRT(SUMSQ(F$2:F$301)))*$BE$5)</f>
        <v/>
      </c>
      <c r="AB243">
        <f>IF(Datos!A243="","",IF(SUMSQ(G$2:G$301)=0,0,G243/SQRT(SUMSQ(G$2:G$301)))*$BE$6)</f>
        <v/>
      </c>
      <c r="AC243">
        <f>IF(Datos!A243="","",IF(SUMSQ(H$2:H$301)=0,0,H243/SQRT(SUMSQ(H$2:H$301)))*$BE$7)</f>
        <v/>
      </c>
      <c r="AE243">
        <f>IF(Datos!A243="","",SQRT(SUMXMY2(X243:AC243,$X$303:$AC$303)))</f>
        <v/>
      </c>
      <c r="AF243">
        <f>IF(Datos!A243="","",SQRT(SUMXMY2(X243:AC243,$X$304:$AC$304)))</f>
        <v/>
      </c>
      <c r="AG243" s="11">
        <f>IF(Datos!A243="","",IF(AE243+AF243&lt;0.000000001,0.5,AF243/(AE243+AF243)))</f>
        <v/>
      </c>
      <c r="AH243">
        <f>IF(Datos!A243="","",AG243*MAX(C243*D243,1))</f>
        <v/>
      </c>
      <c r="AI243">
        <f>IF(Datos!A243="","",SUMIF($AH$2:$AH$301,"&gt;="&amp;AH243,$AH$2:$AH$301)/SUM($AH$2:$AH$301))</f>
        <v/>
      </c>
      <c r="AJ243" s="12">
        <f>IF(Datos!A243="","",IF(AI243&lt;=Parametros!$B$13,"A",IF(AI243&lt;=Parametros!$B$14,"B","C")))</f>
        <v/>
      </c>
      <c r="AK243" s="13">
        <f>IF(Datos!A243="","",VLOOKUP(AJ243,Parametros!$A$8:$C$10,2,FALSE))</f>
        <v/>
      </c>
      <c r="AL243">
        <f>IF(Datos!A243="","",VLOOKUP(AJ243,Parametros!$A$8:$C$10,3,FALSE))</f>
        <v/>
      </c>
      <c r="AM243">
        <f>IF(Datos!A243="","",NORMSINV(AK243))</f>
        <v/>
      </c>
      <c r="AN243">
        <f>IF(Datos!A243="","",D243/Parametros!$B$4)</f>
        <v/>
      </c>
      <c r="AO243">
        <f>IF(Datos!A243="","",MAX(0,ROUNDUP(AM243*(AN243*Parametros!$B$3)*SQRT((AL243+E243)),0)))</f>
        <v/>
      </c>
      <c r="AP243">
        <f>IF(Datos!A243="","",MAX(1,ROUNDUP(AN243*(AL243+E243)+AM243*(AN243*Parametros!$B$3)*SQRT((AL243+E243)),0)))</f>
        <v/>
      </c>
      <c r="AQ243">
        <f>IF(Datos!A243="","",IF(Datos!J243="","",Datos!J243))</f>
        <v/>
      </c>
      <c r="AR243">
        <f>IF(OR(Datos!A243="",AQ243=""),"",MAX(0,AQ243-AP243))</f>
        <v/>
      </c>
      <c r="AS243" s="10">
        <f>IF(OR(Datos!A243="",AQ243=""),"",AR243*C243)</f>
        <v/>
      </c>
      <c r="AT243" s="12">
        <f>IF(OR(Datos!A243="",AQ243=""),"",IF(AQ243&lt;AO243,"SI",""))</f>
        <v/>
      </c>
      <c r="AU243">
        <f>IF(Datos!A243="","",IF(AT243="SI","Reponer ahora",IF(AND(AQ243&lt;&gt;"",AR243&gt;0),"Bajar "&amp;TEXT(AR243,"#,##0")&amp;" un.","En rango")))</f>
        <v/>
      </c>
    </row>
    <row r="244">
      <c r="A244">
        <f>IF(Datos!A244="","",Datos!A244)</f>
        <v/>
      </c>
      <c r="B244">
        <f>IF(Datos!A244="","",Datos!B244)</f>
        <v/>
      </c>
      <c r="C244">
        <f>IF(Datos!A244="","",IFERROR(MAX(0,N(Datos!D244)),0))</f>
        <v/>
      </c>
      <c r="D244">
        <f>IF(Datos!A244="","",IFERROR(MAX(0,N(Datos!E244)),0))</f>
        <v/>
      </c>
      <c r="E244">
        <f>IF(Datos!A244="","",IFERROR(MAX(0,N(Datos!F244)),0))</f>
        <v/>
      </c>
      <c r="F244">
        <f>IF(Datos!A244="","",IFERROR(MAX(0,N(Datos!G244)),0))</f>
        <v/>
      </c>
      <c r="G244">
        <f>IF(Datos!A244="","",IFERROR(MAX(0,N(Datos!H244)),0))</f>
        <v/>
      </c>
      <c r="H244">
        <f>IF(Datos!A244="","",IFERROR(MAX(0,N(Datos!I244)),0))</f>
        <v/>
      </c>
      <c r="J244">
        <f>IF(Datos!A244="","",IF(MAX(C$2:C$301)-MIN(C$2:C$301)&lt;0.000000001,0.5,(C244-MIN(C$2:C$301))/(MAX(C$2:C$301)-MIN(C$2:C$301)))+0.000000001)</f>
        <v/>
      </c>
      <c r="K244">
        <f>IF(Datos!A244="","",IF(MAX(D$2:D$301)-MIN(D$2:D$301)&lt;0.000000001,0.5,(D244-MIN(D$2:D$301))/(MAX(D$2:D$301)-MIN(D$2:D$301)))+0.000000001)</f>
        <v/>
      </c>
      <c r="L244">
        <f>IF(Datos!A244="","",IF(MAX(E$2:E$301)-MIN(E$2:E$301)&lt;0.000000001,0.5,(E244-MIN(E$2:E$301))/(MAX(E$2:E$301)-MIN(E$2:E$301)))+0.000000001)</f>
        <v/>
      </c>
      <c r="M244">
        <f>IF(Datos!A244="","",IF(MAX(F$2:F$301)-MIN(F$2:F$301)&lt;0.000000001,0.5,(F244-MIN(F$2:F$301))/(MAX(F$2:F$301)-MIN(F$2:F$301)))+0.000000001)</f>
        <v/>
      </c>
      <c r="N244">
        <f>IF(Datos!A244="","",IF(MAX(G$2:G$301)-MIN(G$2:G$301)&lt;0.000000001,0.5,(G244-MIN(G$2:G$301))/(MAX(G$2:G$301)-MIN(G$2:G$301)))+0.000000001)</f>
        <v/>
      </c>
      <c r="O244">
        <f>IF(Datos!A244="","",IF(MAX(H$2:H$301)-MIN(H$2:H$301)&lt;0.000000001,0.5,(H244-MIN(H$2:H$301))/(MAX(H$2:H$301)-MIN(H$2:H$301)))+0.000000001)</f>
        <v/>
      </c>
      <c r="Q244">
        <f>IF(Datos!A244="","",(J244/SUM(J$2:J$301))*LN(J244/SUM(J$2:J$301)))</f>
        <v/>
      </c>
      <c r="R244">
        <f>IF(Datos!A244="","",(K244/SUM(K$2:K$301))*LN(K244/SUM(K$2:K$301)))</f>
        <v/>
      </c>
      <c r="S244">
        <f>IF(Datos!A244="","",(L244/SUM(L$2:L$301))*LN(L244/SUM(L$2:L$301)))</f>
        <v/>
      </c>
      <c r="T244">
        <f>IF(Datos!A244="","",(M244/SUM(M$2:M$301))*LN(M244/SUM(M$2:M$301)))</f>
        <v/>
      </c>
      <c r="U244">
        <f>IF(Datos!A244="","",(N244/SUM(N$2:N$301))*LN(N244/SUM(N$2:N$301)))</f>
        <v/>
      </c>
      <c r="V244">
        <f>IF(Datos!A244="","",(O244/SUM(O$2:O$301))*LN(O244/SUM(O$2:O$301)))</f>
        <v/>
      </c>
      <c r="X244">
        <f>IF(Datos!A244="","",IF(SUMSQ(C$2:C$301)=0,0,C244/SQRT(SUMSQ(C$2:C$301)))*$BE$2)</f>
        <v/>
      </c>
      <c r="Y244">
        <f>IF(Datos!A244="","",IF(SUMSQ(D$2:D$301)=0,0,D244/SQRT(SUMSQ(D$2:D$301)))*$BE$3)</f>
        <v/>
      </c>
      <c r="Z244">
        <f>IF(Datos!A244="","",IF(SUMSQ(E$2:E$301)=0,0,E244/SQRT(SUMSQ(E$2:E$301)))*$BE$4)</f>
        <v/>
      </c>
      <c r="AA244">
        <f>IF(Datos!A244="","",IF(SUMSQ(F$2:F$301)=0,0,F244/SQRT(SUMSQ(F$2:F$301)))*$BE$5)</f>
        <v/>
      </c>
      <c r="AB244">
        <f>IF(Datos!A244="","",IF(SUMSQ(G$2:G$301)=0,0,G244/SQRT(SUMSQ(G$2:G$301)))*$BE$6)</f>
        <v/>
      </c>
      <c r="AC244">
        <f>IF(Datos!A244="","",IF(SUMSQ(H$2:H$301)=0,0,H244/SQRT(SUMSQ(H$2:H$301)))*$BE$7)</f>
        <v/>
      </c>
      <c r="AE244">
        <f>IF(Datos!A244="","",SQRT(SUMXMY2(X244:AC244,$X$303:$AC$303)))</f>
        <v/>
      </c>
      <c r="AF244">
        <f>IF(Datos!A244="","",SQRT(SUMXMY2(X244:AC244,$X$304:$AC$304)))</f>
        <v/>
      </c>
      <c r="AG244" s="11">
        <f>IF(Datos!A244="","",IF(AE244+AF244&lt;0.000000001,0.5,AF244/(AE244+AF244)))</f>
        <v/>
      </c>
      <c r="AH244">
        <f>IF(Datos!A244="","",AG244*MAX(C244*D244,1))</f>
        <v/>
      </c>
      <c r="AI244">
        <f>IF(Datos!A244="","",SUMIF($AH$2:$AH$301,"&gt;="&amp;AH244,$AH$2:$AH$301)/SUM($AH$2:$AH$301))</f>
        <v/>
      </c>
      <c r="AJ244" s="12">
        <f>IF(Datos!A244="","",IF(AI244&lt;=Parametros!$B$13,"A",IF(AI244&lt;=Parametros!$B$14,"B","C")))</f>
        <v/>
      </c>
      <c r="AK244" s="13">
        <f>IF(Datos!A244="","",VLOOKUP(AJ244,Parametros!$A$8:$C$10,2,FALSE))</f>
        <v/>
      </c>
      <c r="AL244">
        <f>IF(Datos!A244="","",VLOOKUP(AJ244,Parametros!$A$8:$C$10,3,FALSE))</f>
        <v/>
      </c>
      <c r="AM244">
        <f>IF(Datos!A244="","",NORMSINV(AK244))</f>
        <v/>
      </c>
      <c r="AN244">
        <f>IF(Datos!A244="","",D244/Parametros!$B$4)</f>
        <v/>
      </c>
      <c r="AO244">
        <f>IF(Datos!A244="","",MAX(0,ROUNDUP(AM244*(AN244*Parametros!$B$3)*SQRT((AL244+E244)),0)))</f>
        <v/>
      </c>
      <c r="AP244">
        <f>IF(Datos!A244="","",MAX(1,ROUNDUP(AN244*(AL244+E244)+AM244*(AN244*Parametros!$B$3)*SQRT((AL244+E244)),0)))</f>
        <v/>
      </c>
      <c r="AQ244">
        <f>IF(Datos!A244="","",IF(Datos!J244="","",Datos!J244))</f>
        <v/>
      </c>
      <c r="AR244">
        <f>IF(OR(Datos!A244="",AQ244=""),"",MAX(0,AQ244-AP244))</f>
        <v/>
      </c>
      <c r="AS244" s="10">
        <f>IF(OR(Datos!A244="",AQ244=""),"",AR244*C244)</f>
        <v/>
      </c>
      <c r="AT244" s="12">
        <f>IF(OR(Datos!A244="",AQ244=""),"",IF(AQ244&lt;AO244,"SI",""))</f>
        <v/>
      </c>
      <c r="AU244">
        <f>IF(Datos!A244="","",IF(AT244="SI","Reponer ahora",IF(AND(AQ244&lt;&gt;"",AR244&gt;0),"Bajar "&amp;TEXT(AR244,"#,##0")&amp;" un.","En rango")))</f>
        <v/>
      </c>
    </row>
    <row r="245">
      <c r="A245">
        <f>IF(Datos!A245="","",Datos!A245)</f>
        <v/>
      </c>
      <c r="B245">
        <f>IF(Datos!A245="","",Datos!B245)</f>
        <v/>
      </c>
      <c r="C245">
        <f>IF(Datos!A245="","",IFERROR(MAX(0,N(Datos!D245)),0))</f>
        <v/>
      </c>
      <c r="D245">
        <f>IF(Datos!A245="","",IFERROR(MAX(0,N(Datos!E245)),0))</f>
        <v/>
      </c>
      <c r="E245">
        <f>IF(Datos!A245="","",IFERROR(MAX(0,N(Datos!F245)),0))</f>
        <v/>
      </c>
      <c r="F245">
        <f>IF(Datos!A245="","",IFERROR(MAX(0,N(Datos!G245)),0))</f>
        <v/>
      </c>
      <c r="G245">
        <f>IF(Datos!A245="","",IFERROR(MAX(0,N(Datos!H245)),0))</f>
        <v/>
      </c>
      <c r="H245">
        <f>IF(Datos!A245="","",IFERROR(MAX(0,N(Datos!I245)),0))</f>
        <v/>
      </c>
      <c r="J245">
        <f>IF(Datos!A245="","",IF(MAX(C$2:C$301)-MIN(C$2:C$301)&lt;0.000000001,0.5,(C245-MIN(C$2:C$301))/(MAX(C$2:C$301)-MIN(C$2:C$301)))+0.000000001)</f>
        <v/>
      </c>
      <c r="K245">
        <f>IF(Datos!A245="","",IF(MAX(D$2:D$301)-MIN(D$2:D$301)&lt;0.000000001,0.5,(D245-MIN(D$2:D$301))/(MAX(D$2:D$301)-MIN(D$2:D$301)))+0.000000001)</f>
        <v/>
      </c>
      <c r="L245">
        <f>IF(Datos!A245="","",IF(MAX(E$2:E$301)-MIN(E$2:E$301)&lt;0.000000001,0.5,(E245-MIN(E$2:E$301))/(MAX(E$2:E$301)-MIN(E$2:E$301)))+0.000000001)</f>
        <v/>
      </c>
      <c r="M245">
        <f>IF(Datos!A245="","",IF(MAX(F$2:F$301)-MIN(F$2:F$301)&lt;0.000000001,0.5,(F245-MIN(F$2:F$301))/(MAX(F$2:F$301)-MIN(F$2:F$301)))+0.000000001)</f>
        <v/>
      </c>
      <c r="N245">
        <f>IF(Datos!A245="","",IF(MAX(G$2:G$301)-MIN(G$2:G$301)&lt;0.000000001,0.5,(G245-MIN(G$2:G$301))/(MAX(G$2:G$301)-MIN(G$2:G$301)))+0.000000001)</f>
        <v/>
      </c>
      <c r="O245">
        <f>IF(Datos!A245="","",IF(MAX(H$2:H$301)-MIN(H$2:H$301)&lt;0.000000001,0.5,(H245-MIN(H$2:H$301))/(MAX(H$2:H$301)-MIN(H$2:H$301)))+0.000000001)</f>
        <v/>
      </c>
      <c r="Q245">
        <f>IF(Datos!A245="","",(J245/SUM(J$2:J$301))*LN(J245/SUM(J$2:J$301)))</f>
        <v/>
      </c>
      <c r="R245">
        <f>IF(Datos!A245="","",(K245/SUM(K$2:K$301))*LN(K245/SUM(K$2:K$301)))</f>
        <v/>
      </c>
      <c r="S245">
        <f>IF(Datos!A245="","",(L245/SUM(L$2:L$301))*LN(L245/SUM(L$2:L$301)))</f>
        <v/>
      </c>
      <c r="T245">
        <f>IF(Datos!A245="","",(M245/SUM(M$2:M$301))*LN(M245/SUM(M$2:M$301)))</f>
        <v/>
      </c>
      <c r="U245">
        <f>IF(Datos!A245="","",(N245/SUM(N$2:N$301))*LN(N245/SUM(N$2:N$301)))</f>
        <v/>
      </c>
      <c r="V245">
        <f>IF(Datos!A245="","",(O245/SUM(O$2:O$301))*LN(O245/SUM(O$2:O$301)))</f>
        <v/>
      </c>
      <c r="X245">
        <f>IF(Datos!A245="","",IF(SUMSQ(C$2:C$301)=0,0,C245/SQRT(SUMSQ(C$2:C$301)))*$BE$2)</f>
        <v/>
      </c>
      <c r="Y245">
        <f>IF(Datos!A245="","",IF(SUMSQ(D$2:D$301)=0,0,D245/SQRT(SUMSQ(D$2:D$301)))*$BE$3)</f>
        <v/>
      </c>
      <c r="Z245">
        <f>IF(Datos!A245="","",IF(SUMSQ(E$2:E$301)=0,0,E245/SQRT(SUMSQ(E$2:E$301)))*$BE$4)</f>
        <v/>
      </c>
      <c r="AA245">
        <f>IF(Datos!A245="","",IF(SUMSQ(F$2:F$301)=0,0,F245/SQRT(SUMSQ(F$2:F$301)))*$BE$5)</f>
        <v/>
      </c>
      <c r="AB245">
        <f>IF(Datos!A245="","",IF(SUMSQ(G$2:G$301)=0,0,G245/SQRT(SUMSQ(G$2:G$301)))*$BE$6)</f>
        <v/>
      </c>
      <c r="AC245">
        <f>IF(Datos!A245="","",IF(SUMSQ(H$2:H$301)=0,0,H245/SQRT(SUMSQ(H$2:H$301)))*$BE$7)</f>
        <v/>
      </c>
      <c r="AE245">
        <f>IF(Datos!A245="","",SQRT(SUMXMY2(X245:AC245,$X$303:$AC$303)))</f>
        <v/>
      </c>
      <c r="AF245">
        <f>IF(Datos!A245="","",SQRT(SUMXMY2(X245:AC245,$X$304:$AC$304)))</f>
        <v/>
      </c>
      <c r="AG245" s="11">
        <f>IF(Datos!A245="","",IF(AE245+AF245&lt;0.000000001,0.5,AF245/(AE245+AF245)))</f>
        <v/>
      </c>
      <c r="AH245">
        <f>IF(Datos!A245="","",AG245*MAX(C245*D245,1))</f>
        <v/>
      </c>
      <c r="AI245">
        <f>IF(Datos!A245="","",SUMIF($AH$2:$AH$301,"&gt;="&amp;AH245,$AH$2:$AH$301)/SUM($AH$2:$AH$301))</f>
        <v/>
      </c>
      <c r="AJ245" s="12">
        <f>IF(Datos!A245="","",IF(AI245&lt;=Parametros!$B$13,"A",IF(AI245&lt;=Parametros!$B$14,"B","C")))</f>
        <v/>
      </c>
      <c r="AK245" s="13">
        <f>IF(Datos!A245="","",VLOOKUP(AJ245,Parametros!$A$8:$C$10,2,FALSE))</f>
        <v/>
      </c>
      <c r="AL245">
        <f>IF(Datos!A245="","",VLOOKUP(AJ245,Parametros!$A$8:$C$10,3,FALSE))</f>
        <v/>
      </c>
      <c r="AM245">
        <f>IF(Datos!A245="","",NORMSINV(AK245))</f>
        <v/>
      </c>
      <c r="AN245">
        <f>IF(Datos!A245="","",D245/Parametros!$B$4)</f>
        <v/>
      </c>
      <c r="AO245">
        <f>IF(Datos!A245="","",MAX(0,ROUNDUP(AM245*(AN245*Parametros!$B$3)*SQRT((AL245+E245)),0)))</f>
        <v/>
      </c>
      <c r="AP245">
        <f>IF(Datos!A245="","",MAX(1,ROUNDUP(AN245*(AL245+E245)+AM245*(AN245*Parametros!$B$3)*SQRT((AL245+E245)),0)))</f>
        <v/>
      </c>
      <c r="AQ245">
        <f>IF(Datos!A245="","",IF(Datos!J245="","",Datos!J245))</f>
        <v/>
      </c>
      <c r="AR245">
        <f>IF(OR(Datos!A245="",AQ245=""),"",MAX(0,AQ245-AP245))</f>
        <v/>
      </c>
      <c r="AS245" s="10">
        <f>IF(OR(Datos!A245="",AQ245=""),"",AR245*C245)</f>
        <v/>
      </c>
      <c r="AT245" s="12">
        <f>IF(OR(Datos!A245="",AQ245=""),"",IF(AQ245&lt;AO245,"SI",""))</f>
        <v/>
      </c>
      <c r="AU245">
        <f>IF(Datos!A245="","",IF(AT245="SI","Reponer ahora",IF(AND(AQ245&lt;&gt;"",AR245&gt;0),"Bajar "&amp;TEXT(AR245,"#,##0")&amp;" un.","En rango")))</f>
        <v/>
      </c>
    </row>
    <row r="246">
      <c r="A246">
        <f>IF(Datos!A246="","",Datos!A246)</f>
        <v/>
      </c>
      <c r="B246">
        <f>IF(Datos!A246="","",Datos!B246)</f>
        <v/>
      </c>
      <c r="C246">
        <f>IF(Datos!A246="","",IFERROR(MAX(0,N(Datos!D246)),0))</f>
        <v/>
      </c>
      <c r="D246">
        <f>IF(Datos!A246="","",IFERROR(MAX(0,N(Datos!E246)),0))</f>
        <v/>
      </c>
      <c r="E246">
        <f>IF(Datos!A246="","",IFERROR(MAX(0,N(Datos!F246)),0))</f>
        <v/>
      </c>
      <c r="F246">
        <f>IF(Datos!A246="","",IFERROR(MAX(0,N(Datos!G246)),0))</f>
        <v/>
      </c>
      <c r="G246">
        <f>IF(Datos!A246="","",IFERROR(MAX(0,N(Datos!H246)),0))</f>
        <v/>
      </c>
      <c r="H246">
        <f>IF(Datos!A246="","",IFERROR(MAX(0,N(Datos!I246)),0))</f>
        <v/>
      </c>
      <c r="J246">
        <f>IF(Datos!A246="","",IF(MAX(C$2:C$301)-MIN(C$2:C$301)&lt;0.000000001,0.5,(C246-MIN(C$2:C$301))/(MAX(C$2:C$301)-MIN(C$2:C$301)))+0.000000001)</f>
        <v/>
      </c>
      <c r="K246">
        <f>IF(Datos!A246="","",IF(MAX(D$2:D$301)-MIN(D$2:D$301)&lt;0.000000001,0.5,(D246-MIN(D$2:D$301))/(MAX(D$2:D$301)-MIN(D$2:D$301)))+0.000000001)</f>
        <v/>
      </c>
      <c r="L246">
        <f>IF(Datos!A246="","",IF(MAX(E$2:E$301)-MIN(E$2:E$301)&lt;0.000000001,0.5,(E246-MIN(E$2:E$301))/(MAX(E$2:E$301)-MIN(E$2:E$301)))+0.000000001)</f>
        <v/>
      </c>
      <c r="M246">
        <f>IF(Datos!A246="","",IF(MAX(F$2:F$301)-MIN(F$2:F$301)&lt;0.000000001,0.5,(F246-MIN(F$2:F$301))/(MAX(F$2:F$301)-MIN(F$2:F$301)))+0.000000001)</f>
        <v/>
      </c>
      <c r="N246">
        <f>IF(Datos!A246="","",IF(MAX(G$2:G$301)-MIN(G$2:G$301)&lt;0.000000001,0.5,(G246-MIN(G$2:G$301))/(MAX(G$2:G$301)-MIN(G$2:G$301)))+0.000000001)</f>
        <v/>
      </c>
      <c r="O246">
        <f>IF(Datos!A246="","",IF(MAX(H$2:H$301)-MIN(H$2:H$301)&lt;0.000000001,0.5,(H246-MIN(H$2:H$301))/(MAX(H$2:H$301)-MIN(H$2:H$301)))+0.000000001)</f>
        <v/>
      </c>
      <c r="Q246">
        <f>IF(Datos!A246="","",(J246/SUM(J$2:J$301))*LN(J246/SUM(J$2:J$301)))</f>
        <v/>
      </c>
      <c r="R246">
        <f>IF(Datos!A246="","",(K246/SUM(K$2:K$301))*LN(K246/SUM(K$2:K$301)))</f>
        <v/>
      </c>
      <c r="S246">
        <f>IF(Datos!A246="","",(L246/SUM(L$2:L$301))*LN(L246/SUM(L$2:L$301)))</f>
        <v/>
      </c>
      <c r="T246">
        <f>IF(Datos!A246="","",(M246/SUM(M$2:M$301))*LN(M246/SUM(M$2:M$301)))</f>
        <v/>
      </c>
      <c r="U246">
        <f>IF(Datos!A246="","",(N246/SUM(N$2:N$301))*LN(N246/SUM(N$2:N$301)))</f>
        <v/>
      </c>
      <c r="V246">
        <f>IF(Datos!A246="","",(O246/SUM(O$2:O$301))*LN(O246/SUM(O$2:O$301)))</f>
        <v/>
      </c>
      <c r="X246">
        <f>IF(Datos!A246="","",IF(SUMSQ(C$2:C$301)=0,0,C246/SQRT(SUMSQ(C$2:C$301)))*$BE$2)</f>
        <v/>
      </c>
      <c r="Y246">
        <f>IF(Datos!A246="","",IF(SUMSQ(D$2:D$301)=0,0,D246/SQRT(SUMSQ(D$2:D$301)))*$BE$3)</f>
        <v/>
      </c>
      <c r="Z246">
        <f>IF(Datos!A246="","",IF(SUMSQ(E$2:E$301)=0,0,E246/SQRT(SUMSQ(E$2:E$301)))*$BE$4)</f>
        <v/>
      </c>
      <c r="AA246">
        <f>IF(Datos!A246="","",IF(SUMSQ(F$2:F$301)=0,0,F246/SQRT(SUMSQ(F$2:F$301)))*$BE$5)</f>
        <v/>
      </c>
      <c r="AB246">
        <f>IF(Datos!A246="","",IF(SUMSQ(G$2:G$301)=0,0,G246/SQRT(SUMSQ(G$2:G$301)))*$BE$6)</f>
        <v/>
      </c>
      <c r="AC246">
        <f>IF(Datos!A246="","",IF(SUMSQ(H$2:H$301)=0,0,H246/SQRT(SUMSQ(H$2:H$301)))*$BE$7)</f>
        <v/>
      </c>
      <c r="AE246">
        <f>IF(Datos!A246="","",SQRT(SUMXMY2(X246:AC246,$X$303:$AC$303)))</f>
        <v/>
      </c>
      <c r="AF246">
        <f>IF(Datos!A246="","",SQRT(SUMXMY2(X246:AC246,$X$304:$AC$304)))</f>
        <v/>
      </c>
      <c r="AG246" s="11">
        <f>IF(Datos!A246="","",IF(AE246+AF246&lt;0.000000001,0.5,AF246/(AE246+AF246)))</f>
        <v/>
      </c>
      <c r="AH246">
        <f>IF(Datos!A246="","",AG246*MAX(C246*D246,1))</f>
        <v/>
      </c>
      <c r="AI246">
        <f>IF(Datos!A246="","",SUMIF($AH$2:$AH$301,"&gt;="&amp;AH246,$AH$2:$AH$301)/SUM($AH$2:$AH$301))</f>
        <v/>
      </c>
      <c r="AJ246" s="12">
        <f>IF(Datos!A246="","",IF(AI246&lt;=Parametros!$B$13,"A",IF(AI246&lt;=Parametros!$B$14,"B","C")))</f>
        <v/>
      </c>
      <c r="AK246" s="13">
        <f>IF(Datos!A246="","",VLOOKUP(AJ246,Parametros!$A$8:$C$10,2,FALSE))</f>
        <v/>
      </c>
      <c r="AL246">
        <f>IF(Datos!A246="","",VLOOKUP(AJ246,Parametros!$A$8:$C$10,3,FALSE))</f>
        <v/>
      </c>
      <c r="AM246">
        <f>IF(Datos!A246="","",NORMSINV(AK246))</f>
        <v/>
      </c>
      <c r="AN246">
        <f>IF(Datos!A246="","",D246/Parametros!$B$4)</f>
        <v/>
      </c>
      <c r="AO246">
        <f>IF(Datos!A246="","",MAX(0,ROUNDUP(AM246*(AN246*Parametros!$B$3)*SQRT((AL246+E246)),0)))</f>
        <v/>
      </c>
      <c r="AP246">
        <f>IF(Datos!A246="","",MAX(1,ROUNDUP(AN246*(AL246+E246)+AM246*(AN246*Parametros!$B$3)*SQRT((AL246+E246)),0)))</f>
        <v/>
      </c>
      <c r="AQ246">
        <f>IF(Datos!A246="","",IF(Datos!J246="","",Datos!J246))</f>
        <v/>
      </c>
      <c r="AR246">
        <f>IF(OR(Datos!A246="",AQ246=""),"",MAX(0,AQ246-AP246))</f>
        <v/>
      </c>
      <c r="AS246" s="10">
        <f>IF(OR(Datos!A246="",AQ246=""),"",AR246*C246)</f>
        <v/>
      </c>
      <c r="AT246" s="12">
        <f>IF(OR(Datos!A246="",AQ246=""),"",IF(AQ246&lt;AO246,"SI",""))</f>
        <v/>
      </c>
      <c r="AU246">
        <f>IF(Datos!A246="","",IF(AT246="SI","Reponer ahora",IF(AND(AQ246&lt;&gt;"",AR246&gt;0),"Bajar "&amp;TEXT(AR246,"#,##0")&amp;" un.","En rango")))</f>
        <v/>
      </c>
    </row>
    <row r="247">
      <c r="A247">
        <f>IF(Datos!A247="","",Datos!A247)</f>
        <v/>
      </c>
      <c r="B247">
        <f>IF(Datos!A247="","",Datos!B247)</f>
        <v/>
      </c>
      <c r="C247">
        <f>IF(Datos!A247="","",IFERROR(MAX(0,N(Datos!D247)),0))</f>
        <v/>
      </c>
      <c r="D247">
        <f>IF(Datos!A247="","",IFERROR(MAX(0,N(Datos!E247)),0))</f>
        <v/>
      </c>
      <c r="E247">
        <f>IF(Datos!A247="","",IFERROR(MAX(0,N(Datos!F247)),0))</f>
        <v/>
      </c>
      <c r="F247">
        <f>IF(Datos!A247="","",IFERROR(MAX(0,N(Datos!G247)),0))</f>
        <v/>
      </c>
      <c r="G247">
        <f>IF(Datos!A247="","",IFERROR(MAX(0,N(Datos!H247)),0))</f>
        <v/>
      </c>
      <c r="H247">
        <f>IF(Datos!A247="","",IFERROR(MAX(0,N(Datos!I247)),0))</f>
        <v/>
      </c>
      <c r="J247">
        <f>IF(Datos!A247="","",IF(MAX(C$2:C$301)-MIN(C$2:C$301)&lt;0.000000001,0.5,(C247-MIN(C$2:C$301))/(MAX(C$2:C$301)-MIN(C$2:C$301)))+0.000000001)</f>
        <v/>
      </c>
      <c r="K247">
        <f>IF(Datos!A247="","",IF(MAX(D$2:D$301)-MIN(D$2:D$301)&lt;0.000000001,0.5,(D247-MIN(D$2:D$301))/(MAX(D$2:D$301)-MIN(D$2:D$301)))+0.000000001)</f>
        <v/>
      </c>
      <c r="L247">
        <f>IF(Datos!A247="","",IF(MAX(E$2:E$301)-MIN(E$2:E$301)&lt;0.000000001,0.5,(E247-MIN(E$2:E$301))/(MAX(E$2:E$301)-MIN(E$2:E$301)))+0.000000001)</f>
        <v/>
      </c>
      <c r="M247">
        <f>IF(Datos!A247="","",IF(MAX(F$2:F$301)-MIN(F$2:F$301)&lt;0.000000001,0.5,(F247-MIN(F$2:F$301))/(MAX(F$2:F$301)-MIN(F$2:F$301)))+0.000000001)</f>
        <v/>
      </c>
      <c r="N247">
        <f>IF(Datos!A247="","",IF(MAX(G$2:G$301)-MIN(G$2:G$301)&lt;0.000000001,0.5,(G247-MIN(G$2:G$301))/(MAX(G$2:G$301)-MIN(G$2:G$301)))+0.000000001)</f>
        <v/>
      </c>
      <c r="O247">
        <f>IF(Datos!A247="","",IF(MAX(H$2:H$301)-MIN(H$2:H$301)&lt;0.000000001,0.5,(H247-MIN(H$2:H$301))/(MAX(H$2:H$301)-MIN(H$2:H$301)))+0.000000001)</f>
        <v/>
      </c>
      <c r="Q247">
        <f>IF(Datos!A247="","",(J247/SUM(J$2:J$301))*LN(J247/SUM(J$2:J$301)))</f>
        <v/>
      </c>
      <c r="R247">
        <f>IF(Datos!A247="","",(K247/SUM(K$2:K$301))*LN(K247/SUM(K$2:K$301)))</f>
        <v/>
      </c>
      <c r="S247">
        <f>IF(Datos!A247="","",(L247/SUM(L$2:L$301))*LN(L247/SUM(L$2:L$301)))</f>
        <v/>
      </c>
      <c r="T247">
        <f>IF(Datos!A247="","",(M247/SUM(M$2:M$301))*LN(M247/SUM(M$2:M$301)))</f>
        <v/>
      </c>
      <c r="U247">
        <f>IF(Datos!A247="","",(N247/SUM(N$2:N$301))*LN(N247/SUM(N$2:N$301)))</f>
        <v/>
      </c>
      <c r="V247">
        <f>IF(Datos!A247="","",(O247/SUM(O$2:O$301))*LN(O247/SUM(O$2:O$301)))</f>
        <v/>
      </c>
      <c r="X247">
        <f>IF(Datos!A247="","",IF(SUMSQ(C$2:C$301)=0,0,C247/SQRT(SUMSQ(C$2:C$301)))*$BE$2)</f>
        <v/>
      </c>
      <c r="Y247">
        <f>IF(Datos!A247="","",IF(SUMSQ(D$2:D$301)=0,0,D247/SQRT(SUMSQ(D$2:D$301)))*$BE$3)</f>
        <v/>
      </c>
      <c r="Z247">
        <f>IF(Datos!A247="","",IF(SUMSQ(E$2:E$301)=0,0,E247/SQRT(SUMSQ(E$2:E$301)))*$BE$4)</f>
        <v/>
      </c>
      <c r="AA247">
        <f>IF(Datos!A247="","",IF(SUMSQ(F$2:F$301)=0,0,F247/SQRT(SUMSQ(F$2:F$301)))*$BE$5)</f>
        <v/>
      </c>
      <c r="AB247">
        <f>IF(Datos!A247="","",IF(SUMSQ(G$2:G$301)=0,0,G247/SQRT(SUMSQ(G$2:G$301)))*$BE$6)</f>
        <v/>
      </c>
      <c r="AC247">
        <f>IF(Datos!A247="","",IF(SUMSQ(H$2:H$301)=0,0,H247/SQRT(SUMSQ(H$2:H$301)))*$BE$7)</f>
        <v/>
      </c>
      <c r="AE247">
        <f>IF(Datos!A247="","",SQRT(SUMXMY2(X247:AC247,$X$303:$AC$303)))</f>
        <v/>
      </c>
      <c r="AF247">
        <f>IF(Datos!A247="","",SQRT(SUMXMY2(X247:AC247,$X$304:$AC$304)))</f>
        <v/>
      </c>
      <c r="AG247" s="11">
        <f>IF(Datos!A247="","",IF(AE247+AF247&lt;0.000000001,0.5,AF247/(AE247+AF247)))</f>
        <v/>
      </c>
      <c r="AH247">
        <f>IF(Datos!A247="","",AG247*MAX(C247*D247,1))</f>
        <v/>
      </c>
      <c r="AI247">
        <f>IF(Datos!A247="","",SUMIF($AH$2:$AH$301,"&gt;="&amp;AH247,$AH$2:$AH$301)/SUM($AH$2:$AH$301))</f>
        <v/>
      </c>
      <c r="AJ247" s="12">
        <f>IF(Datos!A247="","",IF(AI247&lt;=Parametros!$B$13,"A",IF(AI247&lt;=Parametros!$B$14,"B","C")))</f>
        <v/>
      </c>
      <c r="AK247" s="13">
        <f>IF(Datos!A247="","",VLOOKUP(AJ247,Parametros!$A$8:$C$10,2,FALSE))</f>
        <v/>
      </c>
      <c r="AL247">
        <f>IF(Datos!A247="","",VLOOKUP(AJ247,Parametros!$A$8:$C$10,3,FALSE))</f>
        <v/>
      </c>
      <c r="AM247">
        <f>IF(Datos!A247="","",NORMSINV(AK247))</f>
        <v/>
      </c>
      <c r="AN247">
        <f>IF(Datos!A247="","",D247/Parametros!$B$4)</f>
        <v/>
      </c>
      <c r="AO247">
        <f>IF(Datos!A247="","",MAX(0,ROUNDUP(AM247*(AN247*Parametros!$B$3)*SQRT((AL247+E247)),0)))</f>
        <v/>
      </c>
      <c r="AP247">
        <f>IF(Datos!A247="","",MAX(1,ROUNDUP(AN247*(AL247+E247)+AM247*(AN247*Parametros!$B$3)*SQRT((AL247+E247)),0)))</f>
        <v/>
      </c>
      <c r="AQ247">
        <f>IF(Datos!A247="","",IF(Datos!J247="","",Datos!J247))</f>
        <v/>
      </c>
      <c r="AR247">
        <f>IF(OR(Datos!A247="",AQ247=""),"",MAX(0,AQ247-AP247))</f>
        <v/>
      </c>
      <c r="AS247" s="10">
        <f>IF(OR(Datos!A247="",AQ247=""),"",AR247*C247)</f>
        <v/>
      </c>
      <c r="AT247" s="12">
        <f>IF(OR(Datos!A247="",AQ247=""),"",IF(AQ247&lt;AO247,"SI",""))</f>
        <v/>
      </c>
      <c r="AU247">
        <f>IF(Datos!A247="","",IF(AT247="SI","Reponer ahora",IF(AND(AQ247&lt;&gt;"",AR247&gt;0),"Bajar "&amp;TEXT(AR247,"#,##0")&amp;" un.","En rango")))</f>
        <v/>
      </c>
    </row>
    <row r="248">
      <c r="A248">
        <f>IF(Datos!A248="","",Datos!A248)</f>
        <v/>
      </c>
      <c r="B248">
        <f>IF(Datos!A248="","",Datos!B248)</f>
        <v/>
      </c>
      <c r="C248">
        <f>IF(Datos!A248="","",IFERROR(MAX(0,N(Datos!D248)),0))</f>
        <v/>
      </c>
      <c r="D248">
        <f>IF(Datos!A248="","",IFERROR(MAX(0,N(Datos!E248)),0))</f>
        <v/>
      </c>
      <c r="E248">
        <f>IF(Datos!A248="","",IFERROR(MAX(0,N(Datos!F248)),0))</f>
        <v/>
      </c>
      <c r="F248">
        <f>IF(Datos!A248="","",IFERROR(MAX(0,N(Datos!G248)),0))</f>
        <v/>
      </c>
      <c r="G248">
        <f>IF(Datos!A248="","",IFERROR(MAX(0,N(Datos!H248)),0))</f>
        <v/>
      </c>
      <c r="H248">
        <f>IF(Datos!A248="","",IFERROR(MAX(0,N(Datos!I248)),0))</f>
        <v/>
      </c>
      <c r="J248">
        <f>IF(Datos!A248="","",IF(MAX(C$2:C$301)-MIN(C$2:C$301)&lt;0.000000001,0.5,(C248-MIN(C$2:C$301))/(MAX(C$2:C$301)-MIN(C$2:C$301)))+0.000000001)</f>
        <v/>
      </c>
      <c r="K248">
        <f>IF(Datos!A248="","",IF(MAX(D$2:D$301)-MIN(D$2:D$301)&lt;0.000000001,0.5,(D248-MIN(D$2:D$301))/(MAX(D$2:D$301)-MIN(D$2:D$301)))+0.000000001)</f>
        <v/>
      </c>
      <c r="L248">
        <f>IF(Datos!A248="","",IF(MAX(E$2:E$301)-MIN(E$2:E$301)&lt;0.000000001,0.5,(E248-MIN(E$2:E$301))/(MAX(E$2:E$301)-MIN(E$2:E$301)))+0.000000001)</f>
        <v/>
      </c>
      <c r="M248">
        <f>IF(Datos!A248="","",IF(MAX(F$2:F$301)-MIN(F$2:F$301)&lt;0.000000001,0.5,(F248-MIN(F$2:F$301))/(MAX(F$2:F$301)-MIN(F$2:F$301)))+0.000000001)</f>
        <v/>
      </c>
      <c r="N248">
        <f>IF(Datos!A248="","",IF(MAX(G$2:G$301)-MIN(G$2:G$301)&lt;0.000000001,0.5,(G248-MIN(G$2:G$301))/(MAX(G$2:G$301)-MIN(G$2:G$301)))+0.000000001)</f>
        <v/>
      </c>
      <c r="O248">
        <f>IF(Datos!A248="","",IF(MAX(H$2:H$301)-MIN(H$2:H$301)&lt;0.000000001,0.5,(H248-MIN(H$2:H$301))/(MAX(H$2:H$301)-MIN(H$2:H$301)))+0.000000001)</f>
        <v/>
      </c>
      <c r="Q248">
        <f>IF(Datos!A248="","",(J248/SUM(J$2:J$301))*LN(J248/SUM(J$2:J$301)))</f>
        <v/>
      </c>
      <c r="R248">
        <f>IF(Datos!A248="","",(K248/SUM(K$2:K$301))*LN(K248/SUM(K$2:K$301)))</f>
        <v/>
      </c>
      <c r="S248">
        <f>IF(Datos!A248="","",(L248/SUM(L$2:L$301))*LN(L248/SUM(L$2:L$301)))</f>
        <v/>
      </c>
      <c r="T248">
        <f>IF(Datos!A248="","",(M248/SUM(M$2:M$301))*LN(M248/SUM(M$2:M$301)))</f>
        <v/>
      </c>
      <c r="U248">
        <f>IF(Datos!A248="","",(N248/SUM(N$2:N$301))*LN(N248/SUM(N$2:N$301)))</f>
        <v/>
      </c>
      <c r="V248">
        <f>IF(Datos!A248="","",(O248/SUM(O$2:O$301))*LN(O248/SUM(O$2:O$301)))</f>
        <v/>
      </c>
      <c r="X248">
        <f>IF(Datos!A248="","",IF(SUMSQ(C$2:C$301)=0,0,C248/SQRT(SUMSQ(C$2:C$301)))*$BE$2)</f>
        <v/>
      </c>
      <c r="Y248">
        <f>IF(Datos!A248="","",IF(SUMSQ(D$2:D$301)=0,0,D248/SQRT(SUMSQ(D$2:D$301)))*$BE$3)</f>
        <v/>
      </c>
      <c r="Z248">
        <f>IF(Datos!A248="","",IF(SUMSQ(E$2:E$301)=0,0,E248/SQRT(SUMSQ(E$2:E$301)))*$BE$4)</f>
        <v/>
      </c>
      <c r="AA248">
        <f>IF(Datos!A248="","",IF(SUMSQ(F$2:F$301)=0,0,F248/SQRT(SUMSQ(F$2:F$301)))*$BE$5)</f>
        <v/>
      </c>
      <c r="AB248">
        <f>IF(Datos!A248="","",IF(SUMSQ(G$2:G$301)=0,0,G248/SQRT(SUMSQ(G$2:G$301)))*$BE$6)</f>
        <v/>
      </c>
      <c r="AC248">
        <f>IF(Datos!A248="","",IF(SUMSQ(H$2:H$301)=0,0,H248/SQRT(SUMSQ(H$2:H$301)))*$BE$7)</f>
        <v/>
      </c>
      <c r="AE248">
        <f>IF(Datos!A248="","",SQRT(SUMXMY2(X248:AC248,$X$303:$AC$303)))</f>
        <v/>
      </c>
      <c r="AF248">
        <f>IF(Datos!A248="","",SQRT(SUMXMY2(X248:AC248,$X$304:$AC$304)))</f>
        <v/>
      </c>
      <c r="AG248" s="11">
        <f>IF(Datos!A248="","",IF(AE248+AF248&lt;0.000000001,0.5,AF248/(AE248+AF248)))</f>
        <v/>
      </c>
      <c r="AH248">
        <f>IF(Datos!A248="","",AG248*MAX(C248*D248,1))</f>
        <v/>
      </c>
      <c r="AI248">
        <f>IF(Datos!A248="","",SUMIF($AH$2:$AH$301,"&gt;="&amp;AH248,$AH$2:$AH$301)/SUM($AH$2:$AH$301))</f>
        <v/>
      </c>
      <c r="AJ248" s="12">
        <f>IF(Datos!A248="","",IF(AI248&lt;=Parametros!$B$13,"A",IF(AI248&lt;=Parametros!$B$14,"B","C")))</f>
        <v/>
      </c>
      <c r="AK248" s="13">
        <f>IF(Datos!A248="","",VLOOKUP(AJ248,Parametros!$A$8:$C$10,2,FALSE))</f>
        <v/>
      </c>
      <c r="AL248">
        <f>IF(Datos!A248="","",VLOOKUP(AJ248,Parametros!$A$8:$C$10,3,FALSE))</f>
        <v/>
      </c>
      <c r="AM248">
        <f>IF(Datos!A248="","",NORMSINV(AK248))</f>
        <v/>
      </c>
      <c r="AN248">
        <f>IF(Datos!A248="","",D248/Parametros!$B$4)</f>
        <v/>
      </c>
      <c r="AO248">
        <f>IF(Datos!A248="","",MAX(0,ROUNDUP(AM248*(AN248*Parametros!$B$3)*SQRT((AL248+E248)),0)))</f>
        <v/>
      </c>
      <c r="AP248">
        <f>IF(Datos!A248="","",MAX(1,ROUNDUP(AN248*(AL248+E248)+AM248*(AN248*Parametros!$B$3)*SQRT((AL248+E248)),0)))</f>
        <v/>
      </c>
      <c r="AQ248">
        <f>IF(Datos!A248="","",IF(Datos!J248="","",Datos!J248))</f>
        <v/>
      </c>
      <c r="AR248">
        <f>IF(OR(Datos!A248="",AQ248=""),"",MAX(0,AQ248-AP248))</f>
        <v/>
      </c>
      <c r="AS248" s="10">
        <f>IF(OR(Datos!A248="",AQ248=""),"",AR248*C248)</f>
        <v/>
      </c>
      <c r="AT248" s="12">
        <f>IF(OR(Datos!A248="",AQ248=""),"",IF(AQ248&lt;AO248,"SI",""))</f>
        <v/>
      </c>
      <c r="AU248">
        <f>IF(Datos!A248="","",IF(AT248="SI","Reponer ahora",IF(AND(AQ248&lt;&gt;"",AR248&gt;0),"Bajar "&amp;TEXT(AR248,"#,##0")&amp;" un.","En rango")))</f>
        <v/>
      </c>
    </row>
    <row r="249">
      <c r="A249">
        <f>IF(Datos!A249="","",Datos!A249)</f>
        <v/>
      </c>
      <c r="B249">
        <f>IF(Datos!A249="","",Datos!B249)</f>
        <v/>
      </c>
      <c r="C249">
        <f>IF(Datos!A249="","",IFERROR(MAX(0,N(Datos!D249)),0))</f>
        <v/>
      </c>
      <c r="D249">
        <f>IF(Datos!A249="","",IFERROR(MAX(0,N(Datos!E249)),0))</f>
        <v/>
      </c>
      <c r="E249">
        <f>IF(Datos!A249="","",IFERROR(MAX(0,N(Datos!F249)),0))</f>
        <v/>
      </c>
      <c r="F249">
        <f>IF(Datos!A249="","",IFERROR(MAX(0,N(Datos!G249)),0))</f>
        <v/>
      </c>
      <c r="G249">
        <f>IF(Datos!A249="","",IFERROR(MAX(0,N(Datos!H249)),0))</f>
        <v/>
      </c>
      <c r="H249">
        <f>IF(Datos!A249="","",IFERROR(MAX(0,N(Datos!I249)),0))</f>
        <v/>
      </c>
      <c r="J249">
        <f>IF(Datos!A249="","",IF(MAX(C$2:C$301)-MIN(C$2:C$301)&lt;0.000000001,0.5,(C249-MIN(C$2:C$301))/(MAX(C$2:C$301)-MIN(C$2:C$301)))+0.000000001)</f>
        <v/>
      </c>
      <c r="K249">
        <f>IF(Datos!A249="","",IF(MAX(D$2:D$301)-MIN(D$2:D$301)&lt;0.000000001,0.5,(D249-MIN(D$2:D$301))/(MAX(D$2:D$301)-MIN(D$2:D$301)))+0.000000001)</f>
        <v/>
      </c>
      <c r="L249">
        <f>IF(Datos!A249="","",IF(MAX(E$2:E$301)-MIN(E$2:E$301)&lt;0.000000001,0.5,(E249-MIN(E$2:E$301))/(MAX(E$2:E$301)-MIN(E$2:E$301)))+0.000000001)</f>
        <v/>
      </c>
      <c r="M249">
        <f>IF(Datos!A249="","",IF(MAX(F$2:F$301)-MIN(F$2:F$301)&lt;0.000000001,0.5,(F249-MIN(F$2:F$301))/(MAX(F$2:F$301)-MIN(F$2:F$301)))+0.000000001)</f>
        <v/>
      </c>
      <c r="N249">
        <f>IF(Datos!A249="","",IF(MAX(G$2:G$301)-MIN(G$2:G$301)&lt;0.000000001,0.5,(G249-MIN(G$2:G$301))/(MAX(G$2:G$301)-MIN(G$2:G$301)))+0.000000001)</f>
        <v/>
      </c>
      <c r="O249">
        <f>IF(Datos!A249="","",IF(MAX(H$2:H$301)-MIN(H$2:H$301)&lt;0.000000001,0.5,(H249-MIN(H$2:H$301))/(MAX(H$2:H$301)-MIN(H$2:H$301)))+0.000000001)</f>
        <v/>
      </c>
      <c r="Q249">
        <f>IF(Datos!A249="","",(J249/SUM(J$2:J$301))*LN(J249/SUM(J$2:J$301)))</f>
        <v/>
      </c>
      <c r="R249">
        <f>IF(Datos!A249="","",(K249/SUM(K$2:K$301))*LN(K249/SUM(K$2:K$301)))</f>
        <v/>
      </c>
      <c r="S249">
        <f>IF(Datos!A249="","",(L249/SUM(L$2:L$301))*LN(L249/SUM(L$2:L$301)))</f>
        <v/>
      </c>
      <c r="T249">
        <f>IF(Datos!A249="","",(M249/SUM(M$2:M$301))*LN(M249/SUM(M$2:M$301)))</f>
        <v/>
      </c>
      <c r="U249">
        <f>IF(Datos!A249="","",(N249/SUM(N$2:N$301))*LN(N249/SUM(N$2:N$301)))</f>
        <v/>
      </c>
      <c r="V249">
        <f>IF(Datos!A249="","",(O249/SUM(O$2:O$301))*LN(O249/SUM(O$2:O$301)))</f>
        <v/>
      </c>
      <c r="X249">
        <f>IF(Datos!A249="","",IF(SUMSQ(C$2:C$301)=0,0,C249/SQRT(SUMSQ(C$2:C$301)))*$BE$2)</f>
        <v/>
      </c>
      <c r="Y249">
        <f>IF(Datos!A249="","",IF(SUMSQ(D$2:D$301)=0,0,D249/SQRT(SUMSQ(D$2:D$301)))*$BE$3)</f>
        <v/>
      </c>
      <c r="Z249">
        <f>IF(Datos!A249="","",IF(SUMSQ(E$2:E$301)=0,0,E249/SQRT(SUMSQ(E$2:E$301)))*$BE$4)</f>
        <v/>
      </c>
      <c r="AA249">
        <f>IF(Datos!A249="","",IF(SUMSQ(F$2:F$301)=0,0,F249/SQRT(SUMSQ(F$2:F$301)))*$BE$5)</f>
        <v/>
      </c>
      <c r="AB249">
        <f>IF(Datos!A249="","",IF(SUMSQ(G$2:G$301)=0,0,G249/SQRT(SUMSQ(G$2:G$301)))*$BE$6)</f>
        <v/>
      </c>
      <c r="AC249">
        <f>IF(Datos!A249="","",IF(SUMSQ(H$2:H$301)=0,0,H249/SQRT(SUMSQ(H$2:H$301)))*$BE$7)</f>
        <v/>
      </c>
      <c r="AE249">
        <f>IF(Datos!A249="","",SQRT(SUMXMY2(X249:AC249,$X$303:$AC$303)))</f>
        <v/>
      </c>
      <c r="AF249">
        <f>IF(Datos!A249="","",SQRT(SUMXMY2(X249:AC249,$X$304:$AC$304)))</f>
        <v/>
      </c>
      <c r="AG249" s="11">
        <f>IF(Datos!A249="","",IF(AE249+AF249&lt;0.000000001,0.5,AF249/(AE249+AF249)))</f>
        <v/>
      </c>
      <c r="AH249">
        <f>IF(Datos!A249="","",AG249*MAX(C249*D249,1))</f>
        <v/>
      </c>
      <c r="AI249">
        <f>IF(Datos!A249="","",SUMIF($AH$2:$AH$301,"&gt;="&amp;AH249,$AH$2:$AH$301)/SUM($AH$2:$AH$301))</f>
        <v/>
      </c>
      <c r="AJ249" s="12">
        <f>IF(Datos!A249="","",IF(AI249&lt;=Parametros!$B$13,"A",IF(AI249&lt;=Parametros!$B$14,"B","C")))</f>
        <v/>
      </c>
      <c r="AK249" s="13">
        <f>IF(Datos!A249="","",VLOOKUP(AJ249,Parametros!$A$8:$C$10,2,FALSE))</f>
        <v/>
      </c>
      <c r="AL249">
        <f>IF(Datos!A249="","",VLOOKUP(AJ249,Parametros!$A$8:$C$10,3,FALSE))</f>
        <v/>
      </c>
      <c r="AM249">
        <f>IF(Datos!A249="","",NORMSINV(AK249))</f>
        <v/>
      </c>
      <c r="AN249">
        <f>IF(Datos!A249="","",D249/Parametros!$B$4)</f>
        <v/>
      </c>
      <c r="AO249">
        <f>IF(Datos!A249="","",MAX(0,ROUNDUP(AM249*(AN249*Parametros!$B$3)*SQRT((AL249+E249)),0)))</f>
        <v/>
      </c>
      <c r="AP249">
        <f>IF(Datos!A249="","",MAX(1,ROUNDUP(AN249*(AL249+E249)+AM249*(AN249*Parametros!$B$3)*SQRT((AL249+E249)),0)))</f>
        <v/>
      </c>
      <c r="AQ249">
        <f>IF(Datos!A249="","",IF(Datos!J249="","",Datos!J249))</f>
        <v/>
      </c>
      <c r="AR249">
        <f>IF(OR(Datos!A249="",AQ249=""),"",MAX(0,AQ249-AP249))</f>
        <v/>
      </c>
      <c r="AS249" s="10">
        <f>IF(OR(Datos!A249="",AQ249=""),"",AR249*C249)</f>
        <v/>
      </c>
      <c r="AT249" s="12">
        <f>IF(OR(Datos!A249="",AQ249=""),"",IF(AQ249&lt;AO249,"SI",""))</f>
        <v/>
      </c>
      <c r="AU249">
        <f>IF(Datos!A249="","",IF(AT249="SI","Reponer ahora",IF(AND(AQ249&lt;&gt;"",AR249&gt;0),"Bajar "&amp;TEXT(AR249,"#,##0")&amp;" un.","En rango")))</f>
        <v/>
      </c>
    </row>
    <row r="250">
      <c r="A250">
        <f>IF(Datos!A250="","",Datos!A250)</f>
        <v/>
      </c>
      <c r="B250">
        <f>IF(Datos!A250="","",Datos!B250)</f>
        <v/>
      </c>
      <c r="C250">
        <f>IF(Datos!A250="","",IFERROR(MAX(0,N(Datos!D250)),0))</f>
        <v/>
      </c>
      <c r="D250">
        <f>IF(Datos!A250="","",IFERROR(MAX(0,N(Datos!E250)),0))</f>
        <v/>
      </c>
      <c r="E250">
        <f>IF(Datos!A250="","",IFERROR(MAX(0,N(Datos!F250)),0))</f>
        <v/>
      </c>
      <c r="F250">
        <f>IF(Datos!A250="","",IFERROR(MAX(0,N(Datos!G250)),0))</f>
        <v/>
      </c>
      <c r="G250">
        <f>IF(Datos!A250="","",IFERROR(MAX(0,N(Datos!H250)),0))</f>
        <v/>
      </c>
      <c r="H250">
        <f>IF(Datos!A250="","",IFERROR(MAX(0,N(Datos!I250)),0))</f>
        <v/>
      </c>
      <c r="J250">
        <f>IF(Datos!A250="","",IF(MAX(C$2:C$301)-MIN(C$2:C$301)&lt;0.000000001,0.5,(C250-MIN(C$2:C$301))/(MAX(C$2:C$301)-MIN(C$2:C$301)))+0.000000001)</f>
        <v/>
      </c>
      <c r="K250">
        <f>IF(Datos!A250="","",IF(MAX(D$2:D$301)-MIN(D$2:D$301)&lt;0.000000001,0.5,(D250-MIN(D$2:D$301))/(MAX(D$2:D$301)-MIN(D$2:D$301)))+0.000000001)</f>
        <v/>
      </c>
      <c r="L250">
        <f>IF(Datos!A250="","",IF(MAX(E$2:E$301)-MIN(E$2:E$301)&lt;0.000000001,0.5,(E250-MIN(E$2:E$301))/(MAX(E$2:E$301)-MIN(E$2:E$301)))+0.000000001)</f>
        <v/>
      </c>
      <c r="M250">
        <f>IF(Datos!A250="","",IF(MAX(F$2:F$301)-MIN(F$2:F$301)&lt;0.000000001,0.5,(F250-MIN(F$2:F$301))/(MAX(F$2:F$301)-MIN(F$2:F$301)))+0.000000001)</f>
        <v/>
      </c>
      <c r="N250">
        <f>IF(Datos!A250="","",IF(MAX(G$2:G$301)-MIN(G$2:G$301)&lt;0.000000001,0.5,(G250-MIN(G$2:G$301))/(MAX(G$2:G$301)-MIN(G$2:G$301)))+0.000000001)</f>
        <v/>
      </c>
      <c r="O250">
        <f>IF(Datos!A250="","",IF(MAX(H$2:H$301)-MIN(H$2:H$301)&lt;0.000000001,0.5,(H250-MIN(H$2:H$301))/(MAX(H$2:H$301)-MIN(H$2:H$301)))+0.000000001)</f>
        <v/>
      </c>
      <c r="Q250">
        <f>IF(Datos!A250="","",(J250/SUM(J$2:J$301))*LN(J250/SUM(J$2:J$301)))</f>
        <v/>
      </c>
      <c r="R250">
        <f>IF(Datos!A250="","",(K250/SUM(K$2:K$301))*LN(K250/SUM(K$2:K$301)))</f>
        <v/>
      </c>
      <c r="S250">
        <f>IF(Datos!A250="","",(L250/SUM(L$2:L$301))*LN(L250/SUM(L$2:L$301)))</f>
        <v/>
      </c>
      <c r="T250">
        <f>IF(Datos!A250="","",(M250/SUM(M$2:M$301))*LN(M250/SUM(M$2:M$301)))</f>
        <v/>
      </c>
      <c r="U250">
        <f>IF(Datos!A250="","",(N250/SUM(N$2:N$301))*LN(N250/SUM(N$2:N$301)))</f>
        <v/>
      </c>
      <c r="V250">
        <f>IF(Datos!A250="","",(O250/SUM(O$2:O$301))*LN(O250/SUM(O$2:O$301)))</f>
        <v/>
      </c>
      <c r="X250">
        <f>IF(Datos!A250="","",IF(SUMSQ(C$2:C$301)=0,0,C250/SQRT(SUMSQ(C$2:C$301)))*$BE$2)</f>
        <v/>
      </c>
      <c r="Y250">
        <f>IF(Datos!A250="","",IF(SUMSQ(D$2:D$301)=0,0,D250/SQRT(SUMSQ(D$2:D$301)))*$BE$3)</f>
        <v/>
      </c>
      <c r="Z250">
        <f>IF(Datos!A250="","",IF(SUMSQ(E$2:E$301)=0,0,E250/SQRT(SUMSQ(E$2:E$301)))*$BE$4)</f>
        <v/>
      </c>
      <c r="AA250">
        <f>IF(Datos!A250="","",IF(SUMSQ(F$2:F$301)=0,0,F250/SQRT(SUMSQ(F$2:F$301)))*$BE$5)</f>
        <v/>
      </c>
      <c r="AB250">
        <f>IF(Datos!A250="","",IF(SUMSQ(G$2:G$301)=0,0,G250/SQRT(SUMSQ(G$2:G$301)))*$BE$6)</f>
        <v/>
      </c>
      <c r="AC250">
        <f>IF(Datos!A250="","",IF(SUMSQ(H$2:H$301)=0,0,H250/SQRT(SUMSQ(H$2:H$301)))*$BE$7)</f>
        <v/>
      </c>
      <c r="AE250">
        <f>IF(Datos!A250="","",SQRT(SUMXMY2(X250:AC250,$X$303:$AC$303)))</f>
        <v/>
      </c>
      <c r="AF250">
        <f>IF(Datos!A250="","",SQRT(SUMXMY2(X250:AC250,$X$304:$AC$304)))</f>
        <v/>
      </c>
      <c r="AG250" s="11">
        <f>IF(Datos!A250="","",IF(AE250+AF250&lt;0.000000001,0.5,AF250/(AE250+AF250)))</f>
        <v/>
      </c>
      <c r="AH250">
        <f>IF(Datos!A250="","",AG250*MAX(C250*D250,1))</f>
        <v/>
      </c>
      <c r="AI250">
        <f>IF(Datos!A250="","",SUMIF($AH$2:$AH$301,"&gt;="&amp;AH250,$AH$2:$AH$301)/SUM($AH$2:$AH$301))</f>
        <v/>
      </c>
      <c r="AJ250" s="12">
        <f>IF(Datos!A250="","",IF(AI250&lt;=Parametros!$B$13,"A",IF(AI250&lt;=Parametros!$B$14,"B","C")))</f>
        <v/>
      </c>
      <c r="AK250" s="13">
        <f>IF(Datos!A250="","",VLOOKUP(AJ250,Parametros!$A$8:$C$10,2,FALSE))</f>
        <v/>
      </c>
      <c r="AL250">
        <f>IF(Datos!A250="","",VLOOKUP(AJ250,Parametros!$A$8:$C$10,3,FALSE))</f>
        <v/>
      </c>
      <c r="AM250">
        <f>IF(Datos!A250="","",NORMSINV(AK250))</f>
        <v/>
      </c>
      <c r="AN250">
        <f>IF(Datos!A250="","",D250/Parametros!$B$4)</f>
        <v/>
      </c>
      <c r="AO250">
        <f>IF(Datos!A250="","",MAX(0,ROUNDUP(AM250*(AN250*Parametros!$B$3)*SQRT((AL250+E250)),0)))</f>
        <v/>
      </c>
      <c r="AP250">
        <f>IF(Datos!A250="","",MAX(1,ROUNDUP(AN250*(AL250+E250)+AM250*(AN250*Parametros!$B$3)*SQRT((AL250+E250)),0)))</f>
        <v/>
      </c>
      <c r="AQ250">
        <f>IF(Datos!A250="","",IF(Datos!J250="","",Datos!J250))</f>
        <v/>
      </c>
      <c r="AR250">
        <f>IF(OR(Datos!A250="",AQ250=""),"",MAX(0,AQ250-AP250))</f>
        <v/>
      </c>
      <c r="AS250" s="10">
        <f>IF(OR(Datos!A250="",AQ250=""),"",AR250*C250)</f>
        <v/>
      </c>
      <c r="AT250" s="12">
        <f>IF(OR(Datos!A250="",AQ250=""),"",IF(AQ250&lt;AO250,"SI",""))</f>
        <v/>
      </c>
      <c r="AU250">
        <f>IF(Datos!A250="","",IF(AT250="SI","Reponer ahora",IF(AND(AQ250&lt;&gt;"",AR250&gt;0),"Bajar "&amp;TEXT(AR250,"#,##0")&amp;" un.","En rango")))</f>
        <v/>
      </c>
    </row>
    <row r="251">
      <c r="A251">
        <f>IF(Datos!A251="","",Datos!A251)</f>
        <v/>
      </c>
      <c r="B251">
        <f>IF(Datos!A251="","",Datos!B251)</f>
        <v/>
      </c>
      <c r="C251">
        <f>IF(Datos!A251="","",IFERROR(MAX(0,N(Datos!D251)),0))</f>
        <v/>
      </c>
      <c r="D251">
        <f>IF(Datos!A251="","",IFERROR(MAX(0,N(Datos!E251)),0))</f>
        <v/>
      </c>
      <c r="E251">
        <f>IF(Datos!A251="","",IFERROR(MAX(0,N(Datos!F251)),0))</f>
        <v/>
      </c>
      <c r="F251">
        <f>IF(Datos!A251="","",IFERROR(MAX(0,N(Datos!G251)),0))</f>
        <v/>
      </c>
      <c r="G251">
        <f>IF(Datos!A251="","",IFERROR(MAX(0,N(Datos!H251)),0))</f>
        <v/>
      </c>
      <c r="H251">
        <f>IF(Datos!A251="","",IFERROR(MAX(0,N(Datos!I251)),0))</f>
        <v/>
      </c>
      <c r="J251">
        <f>IF(Datos!A251="","",IF(MAX(C$2:C$301)-MIN(C$2:C$301)&lt;0.000000001,0.5,(C251-MIN(C$2:C$301))/(MAX(C$2:C$301)-MIN(C$2:C$301)))+0.000000001)</f>
        <v/>
      </c>
      <c r="K251">
        <f>IF(Datos!A251="","",IF(MAX(D$2:D$301)-MIN(D$2:D$301)&lt;0.000000001,0.5,(D251-MIN(D$2:D$301))/(MAX(D$2:D$301)-MIN(D$2:D$301)))+0.000000001)</f>
        <v/>
      </c>
      <c r="L251">
        <f>IF(Datos!A251="","",IF(MAX(E$2:E$301)-MIN(E$2:E$301)&lt;0.000000001,0.5,(E251-MIN(E$2:E$301))/(MAX(E$2:E$301)-MIN(E$2:E$301)))+0.000000001)</f>
        <v/>
      </c>
      <c r="M251">
        <f>IF(Datos!A251="","",IF(MAX(F$2:F$301)-MIN(F$2:F$301)&lt;0.000000001,0.5,(F251-MIN(F$2:F$301))/(MAX(F$2:F$301)-MIN(F$2:F$301)))+0.000000001)</f>
        <v/>
      </c>
      <c r="N251">
        <f>IF(Datos!A251="","",IF(MAX(G$2:G$301)-MIN(G$2:G$301)&lt;0.000000001,0.5,(G251-MIN(G$2:G$301))/(MAX(G$2:G$301)-MIN(G$2:G$301)))+0.000000001)</f>
        <v/>
      </c>
      <c r="O251">
        <f>IF(Datos!A251="","",IF(MAX(H$2:H$301)-MIN(H$2:H$301)&lt;0.000000001,0.5,(H251-MIN(H$2:H$301))/(MAX(H$2:H$301)-MIN(H$2:H$301)))+0.000000001)</f>
        <v/>
      </c>
      <c r="Q251">
        <f>IF(Datos!A251="","",(J251/SUM(J$2:J$301))*LN(J251/SUM(J$2:J$301)))</f>
        <v/>
      </c>
      <c r="R251">
        <f>IF(Datos!A251="","",(K251/SUM(K$2:K$301))*LN(K251/SUM(K$2:K$301)))</f>
        <v/>
      </c>
      <c r="S251">
        <f>IF(Datos!A251="","",(L251/SUM(L$2:L$301))*LN(L251/SUM(L$2:L$301)))</f>
        <v/>
      </c>
      <c r="T251">
        <f>IF(Datos!A251="","",(M251/SUM(M$2:M$301))*LN(M251/SUM(M$2:M$301)))</f>
        <v/>
      </c>
      <c r="U251">
        <f>IF(Datos!A251="","",(N251/SUM(N$2:N$301))*LN(N251/SUM(N$2:N$301)))</f>
        <v/>
      </c>
      <c r="V251">
        <f>IF(Datos!A251="","",(O251/SUM(O$2:O$301))*LN(O251/SUM(O$2:O$301)))</f>
        <v/>
      </c>
      <c r="X251">
        <f>IF(Datos!A251="","",IF(SUMSQ(C$2:C$301)=0,0,C251/SQRT(SUMSQ(C$2:C$301)))*$BE$2)</f>
        <v/>
      </c>
      <c r="Y251">
        <f>IF(Datos!A251="","",IF(SUMSQ(D$2:D$301)=0,0,D251/SQRT(SUMSQ(D$2:D$301)))*$BE$3)</f>
        <v/>
      </c>
      <c r="Z251">
        <f>IF(Datos!A251="","",IF(SUMSQ(E$2:E$301)=0,0,E251/SQRT(SUMSQ(E$2:E$301)))*$BE$4)</f>
        <v/>
      </c>
      <c r="AA251">
        <f>IF(Datos!A251="","",IF(SUMSQ(F$2:F$301)=0,0,F251/SQRT(SUMSQ(F$2:F$301)))*$BE$5)</f>
        <v/>
      </c>
      <c r="AB251">
        <f>IF(Datos!A251="","",IF(SUMSQ(G$2:G$301)=0,0,G251/SQRT(SUMSQ(G$2:G$301)))*$BE$6)</f>
        <v/>
      </c>
      <c r="AC251">
        <f>IF(Datos!A251="","",IF(SUMSQ(H$2:H$301)=0,0,H251/SQRT(SUMSQ(H$2:H$301)))*$BE$7)</f>
        <v/>
      </c>
      <c r="AE251">
        <f>IF(Datos!A251="","",SQRT(SUMXMY2(X251:AC251,$X$303:$AC$303)))</f>
        <v/>
      </c>
      <c r="AF251">
        <f>IF(Datos!A251="","",SQRT(SUMXMY2(X251:AC251,$X$304:$AC$304)))</f>
        <v/>
      </c>
      <c r="AG251" s="11">
        <f>IF(Datos!A251="","",IF(AE251+AF251&lt;0.000000001,0.5,AF251/(AE251+AF251)))</f>
        <v/>
      </c>
      <c r="AH251">
        <f>IF(Datos!A251="","",AG251*MAX(C251*D251,1))</f>
        <v/>
      </c>
      <c r="AI251">
        <f>IF(Datos!A251="","",SUMIF($AH$2:$AH$301,"&gt;="&amp;AH251,$AH$2:$AH$301)/SUM($AH$2:$AH$301))</f>
        <v/>
      </c>
      <c r="AJ251" s="12">
        <f>IF(Datos!A251="","",IF(AI251&lt;=Parametros!$B$13,"A",IF(AI251&lt;=Parametros!$B$14,"B","C")))</f>
        <v/>
      </c>
      <c r="AK251" s="13">
        <f>IF(Datos!A251="","",VLOOKUP(AJ251,Parametros!$A$8:$C$10,2,FALSE))</f>
        <v/>
      </c>
      <c r="AL251">
        <f>IF(Datos!A251="","",VLOOKUP(AJ251,Parametros!$A$8:$C$10,3,FALSE))</f>
        <v/>
      </c>
      <c r="AM251">
        <f>IF(Datos!A251="","",NORMSINV(AK251))</f>
        <v/>
      </c>
      <c r="AN251">
        <f>IF(Datos!A251="","",D251/Parametros!$B$4)</f>
        <v/>
      </c>
      <c r="AO251">
        <f>IF(Datos!A251="","",MAX(0,ROUNDUP(AM251*(AN251*Parametros!$B$3)*SQRT((AL251+E251)),0)))</f>
        <v/>
      </c>
      <c r="AP251">
        <f>IF(Datos!A251="","",MAX(1,ROUNDUP(AN251*(AL251+E251)+AM251*(AN251*Parametros!$B$3)*SQRT((AL251+E251)),0)))</f>
        <v/>
      </c>
      <c r="AQ251">
        <f>IF(Datos!A251="","",IF(Datos!J251="","",Datos!J251))</f>
        <v/>
      </c>
      <c r="AR251">
        <f>IF(OR(Datos!A251="",AQ251=""),"",MAX(0,AQ251-AP251))</f>
        <v/>
      </c>
      <c r="AS251" s="10">
        <f>IF(OR(Datos!A251="",AQ251=""),"",AR251*C251)</f>
        <v/>
      </c>
      <c r="AT251" s="12">
        <f>IF(OR(Datos!A251="",AQ251=""),"",IF(AQ251&lt;AO251,"SI",""))</f>
        <v/>
      </c>
      <c r="AU251">
        <f>IF(Datos!A251="","",IF(AT251="SI","Reponer ahora",IF(AND(AQ251&lt;&gt;"",AR251&gt;0),"Bajar "&amp;TEXT(AR251,"#,##0")&amp;" un.","En rango")))</f>
        <v/>
      </c>
    </row>
    <row r="252">
      <c r="A252">
        <f>IF(Datos!A252="","",Datos!A252)</f>
        <v/>
      </c>
      <c r="B252">
        <f>IF(Datos!A252="","",Datos!B252)</f>
        <v/>
      </c>
      <c r="C252">
        <f>IF(Datos!A252="","",IFERROR(MAX(0,N(Datos!D252)),0))</f>
        <v/>
      </c>
      <c r="D252">
        <f>IF(Datos!A252="","",IFERROR(MAX(0,N(Datos!E252)),0))</f>
        <v/>
      </c>
      <c r="E252">
        <f>IF(Datos!A252="","",IFERROR(MAX(0,N(Datos!F252)),0))</f>
        <v/>
      </c>
      <c r="F252">
        <f>IF(Datos!A252="","",IFERROR(MAX(0,N(Datos!G252)),0))</f>
        <v/>
      </c>
      <c r="G252">
        <f>IF(Datos!A252="","",IFERROR(MAX(0,N(Datos!H252)),0))</f>
        <v/>
      </c>
      <c r="H252">
        <f>IF(Datos!A252="","",IFERROR(MAX(0,N(Datos!I252)),0))</f>
        <v/>
      </c>
      <c r="J252">
        <f>IF(Datos!A252="","",IF(MAX(C$2:C$301)-MIN(C$2:C$301)&lt;0.000000001,0.5,(C252-MIN(C$2:C$301))/(MAX(C$2:C$301)-MIN(C$2:C$301)))+0.000000001)</f>
        <v/>
      </c>
      <c r="K252">
        <f>IF(Datos!A252="","",IF(MAX(D$2:D$301)-MIN(D$2:D$301)&lt;0.000000001,0.5,(D252-MIN(D$2:D$301))/(MAX(D$2:D$301)-MIN(D$2:D$301)))+0.000000001)</f>
        <v/>
      </c>
      <c r="L252">
        <f>IF(Datos!A252="","",IF(MAX(E$2:E$301)-MIN(E$2:E$301)&lt;0.000000001,0.5,(E252-MIN(E$2:E$301))/(MAX(E$2:E$301)-MIN(E$2:E$301)))+0.000000001)</f>
        <v/>
      </c>
      <c r="M252">
        <f>IF(Datos!A252="","",IF(MAX(F$2:F$301)-MIN(F$2:F$301)&lt;0.000000001,0.5,(F252-MIN(F$2:F$301))/(MAX(F$2:F$301)-MIN(F$2:F$301)))+0.000000001)</f>
        <v/>
      </c>
      <c r="N252">
        <f>IF(Datos!A252="","",IF(MAX(G$2:G$301)-MIN(G$2:G$301)&lt;0.000000001,0.5,(G252-MIN(G$2:G$301))/(MAX(G$2:G$301)-MIN(G$2:G$301)))+0.000000001)</f>
        <v/>
      </c>
      <c r="O252">
        <f>IF(Datos!A252="","",IF(MAX(H$2:H$301)-MIN(H$2:H$301)&lt;0.000000001,0.5,(H252-MIN(H$2:H$301))/(MAX(H$2:H$301)-MIN(H$2:H$301)))+0.000000001)</f>
        <v/>
      </c>
      <c r="Q252">
        <f>IF(Datos!A252="","",(J252/SUM(J$2:J$301))*LN(J252/SUM(J$2:J$301)))</f>
        <v/>
      </c>
      <c r="R252">
        <f>IF(Datos!A252="","",(K252/SUM(K$2:K$301))*LN(K252/SUM(K$2:K$301)))</f>
        <v/>
      </c>
      <c r="S252">
        <f>IF(Datos!A252="","",(L252/SUM(L$2:L$301))*LN(L252/SUM(L$2:L$301)))</f>
        <v/>
      </c>
      <c r="T252">
        <f>IF(Datos!A252="","",(M252/SUM(M$2:M$301))*LN(M252/SUM(M$2:M$301)))</f>
        <v/>
      </c>
      <c r="U252">
        <f>IF(Datos!A252="","",(N252/SUM(N$2:N$301))*LN(N252/SUM(N$2:N$301)))</f>
        <v/>
      </c>
      <c r="V252">
        <f>IF(Datos!A252="","",(O252/SUM(O$2:O$301))*LN(O252/SUM(O$2:O$301)))</f>
        <v/>
      </c>
      <c r="X252">
        <f>IF(Datos!A252="","",IF(SUMSQ(C$2:C$301)=0,0,C252/SQRT(SUMSQ(C$2:C$301)))*$BE$2)</f>
        <v/>
      </c>
      <c r="Y252">
        <f>IF(Datos!A252="","",IF(SUMSQ(D$2:D$301)=0,0,D252/SQRT(SUMSQ(D$2:D$301)))*$BE$3)</f>
        <v/>
      </c>
      <c r="Z252">
        <f>IF(Datos!A252="","",IF(SUMSQ(E$2:E$301)=0,0,E252/SQRT(SUMSQ(E$2:E$301)))*$BE$4)</f>
        <v/>
      </c>
      <c r="AA252">
        <f>IF(Datos!A252="","",IF(SUMSQ(F$2:F$301)=0,0,F252/SQRT(SUMSQ(F$2:F$301)))*$BE$5)</f>
        <v/>
      </c>
      <c r="AB252">
        <f>IF(Datos!A252="","",IF(SUMSQ(G$2:G$301)=0,0,G252/SQRT(SUMSQ(G$2:G$301)))*$BE$6)</f>
        <v/>
      </c>
      <c r="AC252">
        <f>IF(Datos!A252="","",IF(SUMSQ(H$2:H$301)=0,0,H252/SQRT(SUMSQ(H$2:H$301)))*$BE$7)</f>
        <v/>
      </c>
      <c r="AE252">
        <f>IF(Datos!A252="","",SQRT(SUMXMY2(X252:AC252,$X$303:$AC$303)))</f>
        <v/>
      </c>
      <c r="AF252">
        <f>IF(Datos!A252="","",SQRT(SUMXMY2(X252:AC252,$X$304:$AC$304)))</f>
        <v/>
      </c>
      <c r="AG252" s="11">
        <f>IF(Datos!A252="","",IF(AE252+AF252&lt;0.000000001,0.5,AF252/(AE252+AF252)))</f>
        <v/>
      </c>
      <c r="AH252">
        <f>IF(Datos!A252="","",AG252*MAX(C252*D252,1))</f>
        <v/>
      </c>
      <c r="AI252">
        <f>IF(Datos!A252="","",SUMIF($AH$2:$AH$301,"&gt;="&amp;AH252,$AH$2:$AH$301)/SUM($AH$2:$AH$301))</f>
        <v/>
      </c>
      <c r="AJ252" s="12">
        <f>IF(Datos!A252="","",IF(AI252&lt;=Parametros!$B$13,"A",IF(AI252&lt;=Parametros!$B$14,"B","C")))</f>
        <v/>
      </c>
      <c r="AK252" s="13">
        <f>IF(Datos!A252="","",VLOOKUP(AJ252,Parametros!$A$8:$C$10,2,FALSE))</f>
        <v/>
      </c>
      <c r="AL252">
        <f>IF(Datos!A252="","",VLOOKUP(AJ252,Parametros!$A$8:$C$10,3,FALSE))</f>
        <v/>
      </c>
      <c r="AM252">
        <f>IF(Datos!A252="","",NORMSINV(AK252))</f>
        <v/>
      </c>
      <c r="AN252">
        <f>IF(Datos!A252="","",D252/Parametros!$B$4)</f>
        <v/>
      </c>
      <c r="AO252">
        <f>IF(Datos!A252="","",MAX(0,ROUNDUP(AM252*(AN252*Parametros!$B$3)*SQRT((AL252+E252)),0)))</f>
        <v/>
      </c>
      <c r="AP252">
        <f>IF(Datos!A252="","",MAX(1,ROUNDUP(AN252*(AL252+E252)+AM252*(AN252*Parametros!$B$3)*SQRT((AL252+E252)),0)))</f>
        <v/>
      </c>
      <c r="AQ252">
        <f>IF(Datos!A252="","",IF(Datos!J252="","",Datos!J252))</f>
        <v/>
      </c>
      <c r="AR252">
        <f>IF(OR(Datos!A252="",AQ252=""),"",MAX(0,AQ252-AP252))</f>
        <v/>
      </c>
      <c r="AS252" s="10">
        <f>IF(OR(Datos!A252="",AQ252=""),"",AR252*C252)</f>
        <v/>
      </c>
      <c r="AT252" s="12">
        <f>IF(OR(Datos!A252="",AQ252=""),"",IF(AQ252&lt;AO252,"SI",""))</f>
        <v/>
      </c>
      <c r="AU252">
        <f>IF(Datos!A252="","",IF(AT252="SI","Reponer ahora",IF(AND(AQ252&lt;&gt;"",AR252&gt;0),"Bajar "&amp;TEXT(AR252,"#,##0")&amp;" un.","En rango")))</f>
        <v/>
      </c>
    </row>
    <row r="253">
      <c r="A253">
        <f>IF(Datos!A253="","",Datos!A253)</f>
        <v/>
      </c>
      <c r="B253">
        <f>IF(Datos!A253="","",Datos!B253)</f>
        <v/>
      </c>
      <c r="C253">
        <f>IF(Datos!A253="","",IFERROR(MAX(0,N(Datos!D253)),0))</f>
        <v/>
      </c>
      <c r="D253">
        <f>IF(Datos!A253="","",IFERROR(MAX(0,N(Datos!E253)),0))</f>
        <v/>
      </c>
      <c r="E253">
        <f>IF(Datos!A253="","",IFERROR(MAX(0,N(Datos!F253)),0))</f>
        <v/>
      </c>
      <c r="F253">
        <f>IF(Datos!A253="","",IFERROR(MAX(0,N(Datos!G253)),0))</f>
        <v/>
      </c>
      <c r="G253">
        <f>IF(Datos!A253="","",IFERROR(MAX(0,N(Datos!H253)),0))</f>
        <v/>
      </c>
      <c r="H253">
        <f>IF(Datos!A253="","",IFERROR(MAX(0,N(Datos!I253)),0))</f>
        <v/>
      </c>
      <c r="J253">
        <f>IF(Datos!A253="","",IF(MAX(C$2:C$301)-MIN(C$2:C$301)&lt;0.000000001,0.5,(C253-MIN(C$2:C$301))/(MAX(C$2:C$301)-MIN(C$2:C$301)))+0.000000001)</f>
        <v/>
      </c>
      <c r="K253">
        <f>IF(Datos!A253="","",IF(MAX(D$2:D$301)-MIN(D$2:D$301)&lt;0.000000001,0.5,(D253-MIN(D$2:D$301))/(MAX(D$2:D$301)-MIN(D$2:D$301)))+0.000000001)</f>
        <v/>
      </c>
      <c r="L253">
        <f>IF(Datos!A253="","",IF(MAX(E$2:E$301)-MIN(E$2:E$301)&lt;0.000000001,0.5,(E253-MIN(E$2:E$301))/(MAX(E$2:E$301)-MIN(E$2:E$301)))+0.000000001)</f>
        <v/>
      </c>
      <c r="M253">
        <f>IF(Datos!A253="","",IF(MAX(F$2:F$301)-MIN(F$2:F$301)&lt;0.000000001,0.5,(F253-MIN(F$2:F$301))/(MAX(F$2:F$301)-MIN(F$2:F$301)))+0.000000001)</f>
        <v/>
      </c>
      <c r="N253">
        <f>IF(Datos!A253="","",IF(MAX(G$2:G$301)-MIN(G$2:G$301)&lt;0.000000001,0.5,(G253-MIN(G$2:G$301))/(MAX(G$2:G$301)-MIN(G$2:G$301)))+0.000000001)</f>
        <v/>
      </c>
      <c r="O253">
        <f>IF(Datos!A253="","",IF(MAX(H$2:H$301)-MIN(H$2:H$301)&lt;0.000000001,0.5,(H253-MIN(H$2:H$301))/(MAX(H$2:H$301)-MIN(H$2:H$301)))+0.000000001)</f>
        <v/>
      </c>
      <c r="Q253">
        <f>IF(Datos!A253="","",(J253/SUM(J$2:J$301))*LN(J253/SUM(J$2:J$301)))</f>
        <v/>
      </c>
      <c r="R253">
        <f>IF(Datos!A253="","",(K253/SUM(K$2:K$301))*LN(K253/SUM(K$2:K$301)))</f>
        <v/>
      </c>
      <c r="S253">
        <f>IF(Datos!A253="","",(L253/SUM(L$2:L$301))*LN(L253/SUM(L$2:L$301)))</f>
        <v/>
      </c>
      <c r="T253">
        <f>IF(Datos!A253="","",(M253/SUM(M$2:M$301))*LN(M253/SUM(M$2:M$301)))</f>
        <v/>
      </c>
      <c r="U253">
        <f>IF(Datos!A253="","",(N253/SUM(N$2:N$301))*LN(N253/SUM(N$2:N$301)))</f>
        <v/>
      </c>
      <c r="V253">
        <f>IF(Datos!A253="","",(O253/SUM(O$2:O$301))*LN(O253/SUM(O$2:O$301)))</f>
        <v/>
      </c>
      <c r="X253">
        <f>IF(Datos!A253="","",IF(SUMSQ(C$2:C$301)=0,0,C253/SQRT(SUMSQ(C$2:C$301)))*$BE$2)</f>
        <v/>
      </c>
      <c r="Y253">
        <f>IF(Datos!A253="","",IF(SUMSQ(D$2:D$301)=0,0,D253/SQRT(SUMSQ(D$2:D$301)))*$BE$3)</f>
        <v/>
      </c>
      <c r="Z253">
        <f>IF(Datos!A253="","",IF(SUMSQ(E$2:E$301)=0,0,E253/SQRT(SUMSQ(E$2:E$301)))*$BE$4)</f>
        <v/>
      </c>
      <c r="AA253">
        <f>IF(Datos!A253="","",IF(SUMSQ(F$2:F$301)=0,0,F253/SQRT(SUMSQ(F$2:F$301)))*$BE$5)</f>
        <v/>
      </c>
      <c r="AB253">
        <f>IF(Datos!A253="","",IF(SUMSQ(G$2:G$301)=0,0,G253/SQRT(SUMSQ(G$2:G$301)))*$BE$6)</f>
        <v/>
      </c>
      <c r="AC253">
        <f>IF(Datos!A253="","",IF(SUMSQ(H$2:H$301)=0,0,H253/SQRT(SUMSQ(H$2:H$301)))*$BE$7)</f>
        <v/>
      </c>
      <c r="AE253">
        <f>IF(Datos!A253="","",SQRT(SUMXMY2(X253:AC253,$X$303:$AC$303)))</f>
        <v/>
      </c>
      <c r="AF253">
        <f>IF(Datos!A253="","",SQRT(SUMXMY2(X253:AC253,$X$304:$AC$304)))</f>
        <v/>
      </c>
      <c r="AG253" s="11">
        <f>IF(Datos!A253="","",IF(AE253+AF253&lt;0.000000001,0.5,AF253/(AE253+AF253)))</f>
        <v/>
      </c>
      <c r="AH253">
        <f>IF(Datos!A253="","",AG253*MAX(C253*D253,1))</f>
        <v/>
      </c>
      <c r="AI253">
        <f>IF(Datos!A253="","",SUMIF($AH$2:$AH$301,"&gt;="&amp;AH253,$AH$2:$AH$301)/SUM($AH$2:$AH$301))</f>
        <v/>
      </c>
      <c r="AJ253" s="12">
        <f>IF(Datos!A253="","",IF(AI253&lt;=Parametros!$B$13,"A",IF(AI253&lt;=Parametros!$B$14,"B","C")))</f>
        <v/>
      </c>
      <c r="AK253" s="13">
        <f>IF(Datos!A253="","",VLOOKUP(AJ253,Parametros!$A$8:$C$10,2,FALSE))</f>
        <v/>
      </c>
      <c r="AL253">
        <f>IF(Datos!A253="","",VLOOKUP(AJ253,Parametros!$A$8:$C$10,3,FALSE))</f>
        <v/>
      </c>
      <c r="AM253">
        <f>IF(Datos!A253="","",NORMSINV(AK253))</f>
        <v/>
      </c>
      <c r="AN253">
        <f>IF(Datos!A253="","",D253/Parametros!$B$4)</f>
        <v/>
      </c>
      <c r="AO253">
        <f>IF(Datos!A253="","",MAX(0,ROUNDUP(AM253*(AN253*Parametros!$B$3)*SQRT((AL253+E253)),0)))</f>
        <v/>
      </c>
      <c r="AP253">
        <f>IF(Datos!A253="","",MAX(1,ROUNDUP(AN253*(AL253+E253)+AM253*(AN253*Parametros!$B$3)*SQRT((AL253+E253)),0)))</f>
        <v/>
      </c>
      <c r="AQ253">
        <f>IF(Datos!A253="","",IF(Datos!J253="","",Datos!J253))</f>
        <v/>
      </c>
      <c r="AR253">
        <f>IF(OR(Datos!A253="",AQ253=""),"",MAX(0,AQ253-AP253))</f>
        <v/>
      </c>
      <c r="AS253" s="10">
        <f>IF(OR(Datos!A253="",AQ253=""),"",AR253*C253)</f>
        <v/>
      </c>
      <c r="AT253" s="12">
        <f>IF(OR(Datos!A253="",AQ253=""),"",IF(AQ253&lt;AO253,"SI",""))</f>
        <v/>
      </c>
      <c r="AU253">
        <f>IF(Datos!A253="","",IF(AT253="SI","Reponer ahora",IF(AND(AQ253&lt;&gt;"",AR253&gt;0),"Bajar "&amp;TEXT(AR253,"#,##0")&amp;" un.","En rango")))</f>
        <v/>
      </c>
    </row>
    <row r="254">
      <c r="A254">
        <f>IF(Datos!A254="","",Datos!A254)</f>
        <v/>
      </c>
      <c r="B254">
        <f>IF(Datos!A254="","",Datos!B254)</f>
        <v/>
      </c>
      <c r="C254">
        <f>IF(Datos!A254="","",IFERROR(MAX(0,N(Datos!D254)),0))</f>
        <v/>
      </c>
      <c r="D254">
        <f>IF(Datos!A254="","",IFERROR(MAX(0,N(Datos!E254)),0))</f>
        <v/>
      </c>
      <c r="E254">
        <f>IF(Datos!A254="","",IFERROR(MAX(0,N(Datos!F254)),0))</f>
        <v/>
      </c>
      <c r="F254">
        <f>IF(Datos!A254="","",IFERROR(MAX(0,N(Datos!G254)),0))</f>
        <v/>
      </c>
      <c r="G254">
        <f>IF(Datos!A254="","",IFERROR(MAX(0,N(Datos!H254)),0))</f>
        <v/>
      </c>
      <c r="H254">
        <f>IF(Datos!A254="","",IFERROR(MAX(0,N(Datos!I254)),0))</f>
        <v/>
      </c>
      <c r="J254">
        <f>IF(Datos!A254="","",IF(MAX(C$2:C$301)-MIN(C$2:C$301)&lt;0.000000001,0.5,(C254-MIN(C$2:C$301))/(MAX(C$2:C$301)-MIN(C$2:C$301)))+0.000000001)</f>
        <v/>
      </c>
      <c r="K254">
        <f>IF(Datos!A254="","",IF(MAX(D$2:D$301)-MIN(D$2:D$301)&lt;0.000000001,0.5,(D254-MIN(D$2:D$301))/(MAX(D$2:D$301)-MIN(D$2:D$301)))+0.000000001)</f>
        <v/>
      </c>
      <c r="L254">
        <f>IF(Datos!A254="","",IF(MAX(E$2:E$301)-MIN(E$2:E$301)&lt;0.000000001,0.5,(E254-MIN(E$2:E$301))/(MAX(E$2:E$301)-MIN(E$2:E$301)))+0.000000001)</f>
        <v/>
      </c>
      <c r="M254">
        <f>IF(Datos!A254="","",IF(MAX(F$2:F$301)-MIN(F$2:F$301)&lt;0.000000001,0.5,(F254-MIN(F$2:F$301))/(MAX(F$2:F$301)-MIN(F$2:F$301)))+0.000000001)</f>
        <v/>
      </c>
      <c r="N254">
        <f>IF(Datos!A254="","",IF(MAX(G$2:G$301)-MIN(G$2:G$301)&lt;0.000000001,0.5,(G254-MIN(G$2:G$301))/(MAX(G$2:G$301)-MIN(G$2:G$301)))+0.000000001)</f>
        <v/>
      </c>
      <c r="O254">
        <f>IF(Datos!A254="","",IF(MAX(H$2:H$301)-MIN(H$2:H$301)&lt;0.000000001,0.5,(H254-MIN(H$2:H$301))/(MAX(H$2:H$301)-MIN(H$2:H$301)))+0.000000001)</f>
        <v/>
      </c>
      <c r="Q254">
        <f>IF(Datos!A254="","",(J254/SUM(J$2:J$301))*LN(J254/SUM(J$2:J$301)))</f>
        <v/>
      </c>
      <c r="R254">
        <f>IF(Datos!A254="","",(K254/SUM(K$2:K$301))*LN(K254/SUM(K$2:K$301)))</f>
        <v/>
      </c>
      <c r="S254">
        <f>IF(Datos!A254="","",(L254/SUM(L$2:L$301))*LN(L254/SUM(L$2:L$301)))</f>
        <v/>
      </c>
      <c r="T254">
        <f>IF(Datos!A254="","",(M254/SUM(M$2:M$301))*LN(M254/SUM(M$2:M$301)))</f>
        <v/>
      </c>
      <c r="U254">
        <f>IF(Datos!A254="","",(N254/SUM(N$2:N$301))*LN(N254/SUM(N$2:N$301)))</f>
        <v/>
      </c>
      <c r="V254">
        <f>IF(Datos!A254="","",(O254/SUM(O$2:O$301))*LN(O254/SUM(O$2:O$301)))</f>
        <v/>
      </c>
      <c r="X254">
        <f>IF(Datos!A254="","",IF(SUMSQ(C$2:C$301)=0,0,C254/SQRT(SUMSQ(C$2:C$301)))*$BE$2)</f>
        <v/>
      </c>
      <c r="Y254">
        <f>IF(Datos!A254="","",IF(SUMSQ(D$2:D$301)=0,0,D254/SQRT(SUMSQ(D$2:D$301)))*$BE$3)</f>
        <v/>
      </c>
      <c r="Z254">
        <f>IF(Datos!A254="","",IF(SUMSQ(E$2:E$301)=0,0,E254/SQRT(SUMSQ(E$2:E$301)))*$BE$4)</f>
        <v/>
      </c>
      <c r="AA254">
        <f>IF(Datos!A254="","",IF(SUMSQ(F$2:F$301)=0,0,F254/SQRT(SUMSQ(F$2:F$301)))*$BE$5)</f>
        <v/>
      </c>
      <c r="AB254">
        <f>IF(Datos!A254="","",IF(SUMSQ(G$2:G$301)=0,0,G254/SQRT(SUMSQ(G$2:G$301)))*$BE$6)</f>
        <v/>
      </c>
      <c r="AC254">
        <f>IF(Datos!A254="","",IF(SUMSQ(H$2:H$301)=0,0,H254/SQRT(SUMSQ(H$2:H$301)))*$BE$7)</f>
        <v/>
      </c>
      <c r="AE254">
        <f>IF(Datos!A254="","",SQRT(SUMXMY2(X254:AC254,$X$303:$AC$303)))</f>
        <v/>
      </c>
      <c r="AF254">
        <f>IF(Datos!A254="","",SQRT(SUMXMY2(X254:AC254,$X$304:$AC$304)))</f>
        <v/>
      </c>
      <c r="AG254" s="11">
        <f>IF(Datos!A254="","",IF(AE254+AF254&lt;0.000000001,0.5,AF254/(AE254+AF254)))</f>
        <v/>
      </c>
      <c r="AH254">
        <f>IF(Datos!A254="","",AG254*MAX(C254*D254,1))</f>
        <v/>
      </c>
      <c r="AI254">
        <f>IF(Datos!A254="","",SUMIF($AH$2:$AH$301,"&gt;="&amp;AH254,$AH$2:$AH$301)/SUM($AH$2:$AH$301))</f>
        <v/>
      </c>
      <c r="AJ254" s="12">
        <f>IF(Datos!A254="","",IF(AI254&lt;=Parametros!$B$13,"A",IF(AI254&lt;=Parametros!$B$14,"B","C")))</f>
        <v/>
      </c>
      <c r="AK254" s="13">
        <f>IF(Datos!A254="","",VLOOKUP(AJ254,Parametros!$A$8:$C$10,2,FALSE))</f>
        <v/>
      </c>
      <c r="AL254">
        <f>IF(Datos!A254="","",VLOOKUP(AJ254,Parametros!$A$8:$C$10,3,FALSE))</f>
        <v/>
      </c>
      <c r="AM254">
        <f>IF(Datos!A254="","",NORMSINV(AK254))</f>
        <v/>
      </c>
      <c r="AN254">
        <f>IF(Datos!A254="","",D254/Parametros!$B$4)</f>
        <v/>
      </c>
      <c r="AO254">
        <f>IF(Datos!A254="","",MAX(0,ROUNDUP(AM254*(AN254*Parametros!$B$3)*SQRT((AL254+E254)),0)))</f>
        <v/>
      </c>
      <c r="AP254">
        <f>IF(Datos!A254="","",MAX(1,ROUNDUP(AN254*(AL254+E254)+AM254*(AN254*Parametros!$B$3)*SQRT((AL254+E254)),0)))</f>
        <v/>
      </c>
      <c r="AQ254">
        <f>IF(Datos!A254="","",IF(Datos!J254="","",Datos!J254))</f>
        <v/>
      </c>
      <c r="AR254">
        <f>IF(OR(Datos!A254="",AQ254=""),"",MAX(0,AQ254-AP254))</f>
        <v/>
      </c>
      <c r="AS254" s="10">
        <f>IF(OR(Datos!A254="",AQ254=""),"",AR254*C254)</f>
        <v/>
      </c>
      <c r="AT254" s="12">
        <f>IF(OR(Datos!A254="",AQ254=""),"",IF(AQ254&lt;AO254,"SI",""))</f>
        <v/>
      </c>
      <c r="AU254">
        <f>IF(Datos!A254="","",IF(AT254="SI","Reponer ahora",IF(AND(AQ254&lt;&gt;"",AR254&gt;0),"Bajar "&amp;TEXT(AR254,"#,##0")&amp;" un.","En rango")))</f>
        <v/>
      </c>
    </row>
    <row r="255">
      <c r="A255">
        <f>IF(Datos!A255="","",Datos!A255)</f>
        <v/>
      </c>
      <c r="B255">
        <f>IF(Datos!A255="","",Datos!B255)</f>
        <v/>
      </c>
      <c r="C255">
        <f>IF(Datos!A255="","",IFERROR(MAX(0,N(Datos!D255)),0))</f>
        <v/>
      </c>
      <c r="D255">
        <f>IF(Datos!A255="","",IFERROR(MAX(0,N(Datos!E255)),0))</f>
        <v/>
      </c>
      <c r="E255">
        <f>IF(Datos!A255="","",IFERROR(MAX(0,N(Datos!F255)),0))</f>
        <v/>
      </c>
      <c r="F255">
        <f>IF(Datos!A255="","",IFERROR(MAX(0,N(Datos!G255)),0))</f>
        <v/>
      </c>
      <c r="G255">
        <f>IF(Datos!A255="","",IFERROR(MAX(0,N(Datos!H255)),0))</f>
        <v/>
      </c>
      <c r="H255">
        <f>IF(Datos!A255="","",IFERROR(MAX(0,N(Datos!I255)),0))</f>
        <v/>
      </c>
      <c r="J255">
        <f>IF(Datos!A255="","",IF(MAX(C$2:C$301)-MIN(C$2:C$301)&lt;0.000000001,0.5,(C255-MIN(C$2:C$301))/(MAX(C$2:C$301)-MIN(C$2:C$301)))+0.000000001)</f>
        <v/>
      </c>
      <c r="K255">
        <f>IF(Datos!A255="","",IF(MAX(D$2:D$301)-MIN(D$2:D$301)&lt;0.000000001,0.5,(D255-MIN(D$2:D$301))/(MAX(D$2:D$301)-MIN(D$2:D$301)))+0.000000001)</f>
        <v/>
      </c>
      <c r="L255">
        <f>IF(Datos!A255="","",IF(MAX(E$2:E$301)-MIN(E$2:E$301)&lt;0.000000001,0.5,(E255-MIN(E$2:E$301))/(MAX(E$2:E$301)-MIN(E$2:E$301)))+0.000000001)</f>
        <v/>
      </c>
      <c r="M255">
        <f>IF(Datos!A255="","",IF(MAX(F$2:F$301)-MIN(F$2:F$301)&lt;0.000000001,0.5,(F255-MIN(F$2:F$301))/(MAX(F$2:F$301)-MIN(F$2:F$301)))+0.000000001)</f>
        <v/>
      </c>
      <c r="N255">
        <f>IF(Datos!A255="","",IF(MAX(G$2:G$301)-MIN(G$2:G$301)&lt;0.000000001,0.5,(G255-MIN(G$2:G$301))/(MAX(G$2:G$301)-MIN(G$2:G$301)))+0.000000001)</f>
        <v/>
      </c>
      <c r="O255">
        <f>IF(Datos!A255="","",IF(MAX(H$2:H$301)-MIN(H$2:H$301)&lt;0.000000001,0.5,(H255-MIN(H$2:H$301))/(MAX(H$2:H$301)-MIN(H$2:H$301)))+0.000000001)</f>
        <v/>
      </c>
      <c r="Q255">
        <f>IF(Datos!A255="","",(J255/SUM(J$2:J$301))*LN(J255/SUM(J$2:J$301)))</f>
        <v/>
      </c>
      <c r="R255">
        <f>IF(Datos!A255="","",(K255/SUM(K$2:K$301))*LN(K255/SUM(K$2:K$301)))</f>
        <v/>
      </c>
      <c r="S255">
        <f>IF(Datos!A255="","",(L255/SUM(L$2:L$301))*LN(L255/SUM(L$2:L$301)))</f>
        <v/>
      </c>
      <c r="T255">
        <f>IF(Datos!A255="","",(M255/SUM(M$2:M$301))*LN(M255/SUM(M$2:M$301)))</f>
        <v/>
      </c>
      <c r="U255">
        <f>IF(Datos!A255="","",(N255/SUM(N$2:N$301))*LN(N255/SUM(N$2:N$301)))</f>
        <v/>
      </c>
      <c r="V255">
        <f>IF(Datos!A255="","",(O255/SUM(O$2:O$301))*LN(O255/SUM(O$2:O$301)))</f>
        <v/>
      </c>
      <c r="X255">
        <f>IF(Datos!A255="","",IF(SUMSQ(C$2:C$301)=0,0,C255/SQRT(SUMSQ(C$2:C$301)))*$BE$2)</f>
        <v/>
      </c>
      <c r="Y255">
        <f>IF(Datos!A255="","",IF(SUMSQ(D$2:D$301)=0,0,D255/SQRT(SUMSQ(D$2:D$301)))*$BE$3)</f>
        <v/>
      </c>
      <c r="Z255">
        <f>IF(Datos!A255="","",IF(SUMSQ(E$2:E$301)=0,0,E255/SQRT(SUMSQ(E$2:E$301)))*$BE$4)</f>
        <v/>
      </c>
      <c r="AA255">
        <f>IF(Datos!A255="","",IF(SUMSQ(F$2:F$301)=0,0,F255/SQRT(SUMSQ(F$2:F$301)))*$BE$5)</f>
        <v/>
      </c>
      <c r="AB255">
        <f>IF(Datos!A255="","",IF(SUMSQ(G$2:G$301)=0,0,G255/SQRT(SUMSQ(G$2:G$301)))*$BE$6)</f>
        <v/>
      </c>
      <c r="AC255">
        <f>IF(Datos!A255="","",IF(SUMSQ(H$2:H$301)=0,0,H255/SQRT(SUMSQ(H$2:H$301)))*$BE$7)</f>
        <v/>
      </c>
      <c r="AE255">
        <f>IF(Datos!A255="","",SQRT(SUMXMY2(X255:AC255,$X$303:$AC$303)))</f>
        <v/>
      </c>
      <c r="AF255">
        <f>IF(Datos!A255="","",SQRT(SUMXMY2(X255:AC255,$X$304:$AC$304)))</f>
        <v/>
      </c>
      <c r="AG255" s="11">
        <f>IF(Datos!A255="","",IF(AE255+AF255&lt;0.000000001,0.5,AF255/(AE255+AF255)))</f>
        <v/>
      </c>
      <c r="AH255">
        <f>IF(Datos!A255="","",AG255*MAX(C255*D255,1))</f>
        <v/>
      </c>
      <c r="AI255">
        <f>IF(Datos!A255="","",SUMIF($AH$2:$AH$301,"&gt;="&amp;AH255,$AH$2:$AH$301)/SUM($AH$2:$AH$301))</f>
        <v/>
      </c>
      <c r="AJ255" s="12">
        <f>IF(Datos!A255="","",IF(AI255&lt;=Parametros!$B$13,"A",IF(AI255&lt;=Parametros!$B$14,"B","C")))</f>
        <v/>
      </c>
      <c r="AK255" s="13">
        <f>IF(Datos!A255="","",VLOOKUP(AJ255,Parametros!$A$8:$C$10,2,FALSE))</f>
        <v/>
      </c>
      <c r="AL255">
        <f>IF(Datos!A255="","",VLOOKUP(AJ255,Parametros!$A$8:$C$10,3,FALSE))</f>
        <v/>
      </c>
      <c r="AM255">
        <f>IF(Datos!A255="","",NORMSINV(AK255))</f>
        <v/>
      </c>
      <c r="AN255">
        <f>IF(Datos!A255="","",D255/Parametros!$B$4)</f>
        <v/>
      </c>
      <c r="AO255">
        <f>IF(Datos!A255="","",MAX(0,ROUNDUP(AM255*(AN255*Parametros!$B$3)*SQRT((AL255+E255)),0)))</f>
        <v/>
      </c>
      <c r="AP255">
        <f>IF(Datos!A255="","",MAX(1,ROUNDUP(AN255*(AL255+E255)+AM255*(AN255*Parametros!$B$3)*SQRT((AL255+E255)),0)))</f>
        <v/>
      </c>
      <c r="AQ255">
        <f>IF(Datos!A255="","",IF(Datos!J255="","",Datos!J255))</f>
        <v/>
      </c>
      <c r="AR255">
        <f>IF(OR(Datos!A255="",AQ255=""),"",MAX(0,AQ255-AP255))</f>
        <v/>
      </c>
      <c r="AS255" s="10">
        <f>IF(OR(Datos!A255="",AQ255=""),"",AR255*C255)</f>
        <v/>
      </c>
      <c r="AT255" s="12">
        <f>IF(OR(Datos!A255="",AQ255=""),"",IF(AQ255&lt;AO255,"SI",""))</f>
        <v/>
      </c>
      <c r="AU255">
        <f>IF(Datos!A255="","",IF(AT255="SI","Reponer ahora",IF(AND(AQ255&lt;&gt;"",AR255&gt;0),"Bajar "&amp;TEXT(AR255,"#,##0")&amp;" un.","En rango")))</f>
        <v/>
      </c>
    </row>
    <row r="256">
      <c r="A256">
        <f>IF(Datos!A256="","",Datos!A256)</f>
        <v/>
      </c>
      <c r="B256">
        <f>IF(Datos!A256="","",Datos!B256)</f>
        <v/>
      </c>
      <c r="C256">
        <f>IF(Datos!A256="","",IFERROR(MAX(0,N(Datos!D256)),0))</f>
        <v/>
      </c>
      <c r="D256">
        <f>IF(Datos!A256="","",IFERROR(MAX(0,N(Datos!E256)),0))</f>
        <v/>
      </c>
      <c r="E256">
        <f>IF(Datos!A256="","",IFERROR(MAX(0,N(Datos!F256)),0))</f>
        <v/>
      </c>
      <c r="F256">
        <f>IF(Datos!A256="","",IFERROR(MAX(0,N(Datos!G256)),0))</f>
        <v/>
      </c>
      <c r="G256">
        <f>IF(Datos!A256="","",IFERROR(MAX(0,N(Datos!H256)),0))</f>
        <v/>
      </c>
      <c r="H256">
        <f>IF(Datos!A256="","",IFERROR(MAX(0,N(Datos!I256)),0))</f>
        <v/>
      </c>
      <c r="J256">
        <f>IF(Datos!A256="","",IF(MAX(C$2:C$301)-MIN(C$2:C$301)&lt;0.000000001,0.5,(C256-MIN(C$2:C$301))/(MAX(C$2:C$301)-MIN(C$2:C$301)))+0.000000001)</f>
        <v/>
      </c>
      <c r="K256">
        <f>IF(Datos!A256="","",IF(MAX(D$2:D$301)-MIN(D$2:D$301)&lt;0.000000001,0.5,(D256-MIN(D$2:D$301))/(MAX(D$2:D$301)-MIN(D$2:D$301)))+0.000000001)</f>
        <v/>
      </c>
      <c r="L256">
        <f>IF(Datos!A256="","",IF(MAX(E$2:E$301)-MIN(E$2:E$301)&lt;0.000000001,0.5,(E256-MIN(E$2:E$301))/(MAX(E$2:E$301)-MIN(E$2:E$301)))+0.000000001)</f>
        <v/>
      </c>
      <c r="M256">
        <f>IF(Datos!A256="","",IF(MAX(F$2:F$301)-MIN(F$2:F$301)&lt;0.000000001,0.5,(F256-MIN(F$2:F$301))/(MAX(F$2:F$301)-MIN(F$2:F$301)))+0.000000001)</f>
        <v/>
      </c>
      <c r="N256">
        <f>IF(Datos!A256="","",IF(MAX(G$2:G$301)-MIN(G$2:G$301)&lt;0.000000001,0.5,(G256-MIN(G$2:G$301))/(MAX(G$2:G$301)-MIN(G$2:G$301)))+0.000000001)</f>
        <v/>
      </c>
      <c r="O256">
        <f>IF(Datos!A256="","",IF(MAX(H$2:H$301)-MIN(H$2:H$301)&lt;0.000000001,0.5,(H256-MIN(H$2:H$301))/(MAX(H$2:H$301)-MIN(H$2:H$301)))+0.000000001)</f>
        <v/>
      </c>
      <c r="Q256">
        <f>IF(Datos!A256="","",(J256/SUM(J$2:J$301))*LN(J256/SUM(J$2:J$301)))</f>
        <v/>
      </c>
      <c r="R256">
        <f>IF(Datos!A256="","",(K256/SUM(K$2:K$301))*LN(K256/SUM(K$2:K$301)))</f>
        <v/>
      </c>
      <c r="S256">
        <f>IF(Datos!A256="","",(L256/SUM(L$2:L$301))*LN(L256/SUM(L$2:L$301)))</f>
        <v/>
      </c>
      <c r="T256">
        <f>IF(Datos!A256="","",(M256/SUM(M$2:M$301))*LN(M256/SUM(M$2:M$301)))</f>
        <v/>
      </c>
      <c r="U256">
        <f>IF(Datos!A256="","",(N256/SUM(N$2:N$301))*LN(N256/SUM(N$2:N$301)))</f>
        <v/>
      </c>
      <c r="V256">
        <f>IF(Datos!A256="","",(O256/SUM(O$2:O$301))*LN(O256/SUM(O$2:O$301)))</f>
        <v/>
      </c>
      <c r="X256">
        <f>IF(Datos!A256="","",IF(SUMSQ(C$2:C$301)=0,0,C256/SQRT(SUMSQ(C$2:C$301)))*$BE$2)</f>
        <v/>
      </c>
      <c r="Y256">
        <f>IF(Datos!A256="","",IF(SUMSQ(D$2:D$301)=0,0,D256/SQRT(SUMSQ(D$2:D$301)))*$BE$3)</f>
        <v/>
      </c>
      <c r="Z256">
        <f>IF(Datos!A256="","",IF(SUMSQ(E$2:E$301)=0,0,E256/SQRT(SUMSQ(E$2:E$301)))*$BE$4)</f>
        <v/>
      </c>
      <c r="AA256">
        <f>IF(Datos!A256="","",IF(SUMSQ(F$2:F$301)=0,0,F256/SQRT(SUMSQ(F$2:F$301)))*$BE$5)</f>
        <v/>
      </c>
      <c r="AB256">
        <f>IF(Datos!A256="","",IF(SUMSQ(G$2:G$301)=0,0,G256/SQRT(SUMSQ(G$2:G$301)))*$BE$6)</f>
        <v/>
      </c>
      <c r="AC256">
        <f>IF(Datos!A256="","",IF(SUMSQ(H$2:H$301)=0,0,H256/SQRT(SUMSQ(H$2:H$301)))*$BE$7)</f>
        <v/>
      </c>
      <c r="AE256">
        <f>IF(Datos!A256="","",SQRT(SUMXMY2(X256:AC256,$X$303:$AC$303)))</f>
        <v/>
      </c>
      <c r="AF256">
        <f>IF(Datos!A256="","",SQRT(SUMXMY2(X256:AC256,$X$304:$AC$304)))</f>
        <v/>
      </c>
      <c r="AG256" s="11">
        <f>IF(Datos!A256="","",IF(AE256+AF256&lt;0.000000001,0.5,AF256/(AE256+AF256)))</f>
        <v/>
      </c>
      <c r="AH256">
        <f>IF(Datos!A256="","",AG256*MAX(C256*D256,1))</f>
        <v/>
      </c>
      <c r="AI256">
        <f>IF(Datos!A256="","",SUMIF($AH$2:$AH$301,"&gt;="&amp;AH256,$AH$2:$AH$301)/SUM($AH$2:$AH$301))</f>
        <v/>
      </c>
      <c r="AJ256" s="12">
        <f>IF(Datos!A256="","",IF(AI256&lt;=Parametros!$B$13,"A",IF(AI256&lt;=Parametros!$B$14,"B","C")))</f>
        <v/>
      </c>
      <c r="AK256" s="13">
        <f>IF(Datos!A256="","",VLOOKUP(AJ256,Parametros!$A$8:$C$10,2,FALSE))</f>
        <v/>
      </c>
      <c r="AL256">
        <f>IF(Datos!A256="","",VLOOKUP(AJ256,Parametros!$A$8:$C$10,3,FALSE))</f>
        <v/>
      </c>
      <c r="AM256">
        <f>IF(Datos!A256="","",NORMSINV(AK256))</f>
        <v/>
      </c>
      <c r="AN256">
        <f>IF(Datos!A256="","",D256/Parametros!$B$4)</f>
        <v/>
      </c>
      <c r="AO256">
        <f>IF(Datos!A256="","",MAX(0,ROUNDUP(AM256*(AN256*Parametros!$B$3)*SQRT((AL256+E256)),0)))</f>
        <v/>
      </c>
      <c r="AP256">
        <f>IF(Datos!A256="","",MAX(1,ROUNDUP(AN256*(AL256+E256)+AM256*(AN256*Parametros!$B$3)*SQRT((AL256+E256)),0)))</f>
        <v/>
      </c>
      <c r="AQ256">
        <f>IF(Datos!A256="","",IF(Datos!J256="","",Datos!J256))</f>
        <v/>
      </c>
      <c r="AR256">
        <f>IF(OR(Datos!A256="",AQ256=""),"",MAX(0,AQ256-AP256))</f>
        <v/>
      </c>
      <c r="AS256" s="10">
        <f>IF(OR(Datos!A256="",AQ256=""),"",AR256*C256)</f>
        <v/>
      </c>
      <c r="AT256" s="12">
        <f>IF(OR(Datos!A256="",AQ256=""),"",IF(AQ256&lt;AO256,"SI",""))</f>
        <v/>
      </c>
      <c r="AU256">
        <f>IF(Datos!A256="","",IF(AT256="SI","Reponer ahora",IF(AND(AQ256&lt;&gt;"",AR256&gt;0),"Bajar "&amp;TEXT(AR256,"#,##0")&amp;" un.","En rango")))</f>
        <v/>
      </c>
    </row>
    <row r="257">
      <c r="A257">
        <f>IF(Datos!A257="","",Datos!A257)</f>
        <v/>
      </c>
      <c r="B257">
        <f>IF(Datos!A257="","",Datos!B257)</f>
        <v/>
      </c>
      <c r="C257">
        <f>IF(Datos!A257="","",IFERROR(MAX(0,N(Datos!D257)),0))</f>
        <v/>
      </c>
      <c r="D257">
        <f>IF(Datos!A257="","",IFERROR(MAX(0,N(Datos!E257)),0))</f>
        <v/>
      </c>
      <c r="E257">
        <f>IF(Datos!A257="","",IFERROR(MAX(0,N(Datos!F257)),0))</f>
        <v/>
      </c>
      <c r="F257">
        <f>IF(Datos!A257="","",IFERROR(MAX(0,N(Datos!G257)),0))</f>
        <v/>
      </c>
      <c r="G257">
        <f>IF(Datos!A257="","",IFERROR(MAX(0,N(Datos!H257)),0))</f>
        <v/>
      </c>
      <c r="H257">
        <f>IF(Datos!A257="","",IFERROR(MAX(0,N(Datos!I257)),0))</f>
        <v/>
      </c>
      <c r="J257">
        <f>IF(Datos!A257="","",IF(MAX(C$2:C$301)-MIN(C$2:C$301)&lt;0.000000001,0.5,(C257-MIN(C$2:C$301))/(MAX(C$2:C$301)-MIN(C$2:C$301)))+0.000000001)</f>
        <v/>
      </c>
      <c r="K257">
        <f>IF(Datos!A257="","",IF(MAX(D$2:D$301)-MIN(D$2:D$301)&lt;0.000000001,0.5,(D257-MIN(D$2:D$301))/(MAX(D$2:D$301)-MIN(D$2:D$301)))+0.000000001)</f>
        <v/>
      </c>
      <c r="L257">
        <f>IF(Datos!A257="","",IF(MAX(E$2:E$301)-MIN(E$2:E$301)&lt;0.000000001,0.5,(E257-MIN(E$2:E$301))/(MAX(E$2:E$301)-MIN(E$2:E$301)))+0.000000001)</f>
        <v/>
      </c>
      <c r="M257">
        <f>IF(Datos!A257="","",IF(MAX(F$2:F$301)-MIN(F$2:F$301)&lt;0.000000001,0.5,(F257-MIN(F$2:F$301))/(MAX(F$2:F$301)-MIN(F$2:F$301)))+0.000000001)</f>
        <v/>
      </c>
      <c r="N257">
        <f>IF(Datos!A257="","",IF(MAX(G$2:G$301)-MIN(G$2:G$301)&lt;0.000000001,0.5,(G257-MIN(G$2:G$301))/(MAX(G$2:G$301)-MIN(G$2:G$301)))+0.000000001)</f>
        <v/>
      </c>
      <c r="O257">
        <f>IF(Datos!A257="","",IF(MAX(H$2:H$301)-MIN(H$2:H$301)&lt;0.000000001,0.5,(H257-MIN(H$2:H$301))/(MAX(H$2:H$301)-MIN(H$2:H$301)))+0.000000001)</f>
        <v/>
      </c>
      <c r="Q257">
        <f>IF(Datos!A257="","",(J257/SUM(J$2:J$301))*LN(J257/SUM(J$2:J$301)))</f>
        <v/>
      </c>
      <c r="R257">
        <f>IF(Datos!A257="","",(K257/SUM(K$2:K$301))*LN(K257/SUM(K$2:K$301)))</f>
        <v/>
      </c>
      <c r="S257">
        <f>IF(Datos!A257="","",(L257/SUM(L$2:L$301))*LN(L257/SUM(L$2:L$301)))</f>
        <v/>
      </c>
      <c r="T257">
        <f>IF(Datos!A257="","",(M257/SUM(M$2:M$301))*LN(M257/SUM(M$2:M$301)))</f>
        <v/>
      </c>
      <c r="U257">
        <f>IF(Datos!A257="","",(N257/SUM(N$2:N$301))*LN(N257/SUM(N$2:N$301)))</f>
        <v/>
      </c>
      <c r="V257">
        <f>IF(Datos!A257="","",(O257/SUM(O$2:O$301))*LN(O257/SUM(O$2:O$301)))</f>
        <v/>
      </c>
      <c r="X257">
        <f>IF(Datos!A257="","",IF(SUMSQ(C$2:C$301)=0,0,C257/SQRT(SUMSQ(C$2:C$301)))*$BE$2)</f>
        <v/>
      </c>
      <c r="Y257">
        <f>IF(Datos!A257="","",IF(SUMSQ(D$2:D$301)=0,0,D257/SQRT(SUMSQ(D$2:D$301)))*$BE$3)</f>
        <v/>
      </c>
      <c r="Z257">
        <f>IF(Datos!A257="","",IF(SUMSQ(E$2:E$301)=0,0,E257/SQRT(SUMSQ(E$2:E$301)))*$BE$4)</f>
        <v/>
      </c>
      <c r="AA257">
        <f>IF(Datos!A257="","",IF(SUMSQ(F$2:F$301)=0,0,F257/SQRT(SUMSQ(F$2:F$301)))*$BE$5)</f>
        <v/>
      </c>
      <c r="AB257">
        <f>IF(Datos!A257="","",IF(SUMSQ(G$2:G$301)=0,0,G257/SQRT(SUMSQ(G$2:G$301)))*$BE$6)</f>
        <v/>
      </c>
      <c r="AC257">
        <f>IF(Datos!A257="","",IF(SUMSQ(H$2:H$301)=0,0,H257/SQRT(SUMSQ(H$2:H$301)))*$BE$7)</f>
        <v/>
      </c>
      <c r="AE257">
        <f>IF(Datos!A257="","",SQRT(SUMXMY2(X257:AC257,$X$303:$AC$303)))</f>
        <v/>
      </c>
      <c r="AF257">
        <f>IF(Datos!A257="","",SQRT(SUMXMY2(X257:AC257,$X$304:$AC$304)))</f>
        <v/>
      </c>
      <c r="AG257" s="11">
        <f>IF(Datos!A257="","",IF(AE257+AF257&lt;0.000000001,0.5,AF257/(AE257+AF257)))</f>
        <v/>
      </c>
      <c r="AH257">
        <f>IF(Datos!A257="","",AG257*MAX(C257*D257,1))</f>
        <v/>
      </c>
      <c r="AI257">
        <f>IF(Datos!A257="","",SUMIF($AH$2:$AH$301,"&gt;="&amp;AH257,$AH$2:$AH$301)/SUM($AH$2:$AH$301))</f>
        <v/>
      </c>
      <c r="AJ257" s="12">
        <f>IF(Datos!A257="","",IF(AI257&lt;=Parametros!$B$13,"A",IF(AI257&lt;=Parametros!$B$14,"B","C")))</f>
        <v/>
      </c>
      <c r="AK257" s="13">
        <f>IF(Datos!A257="","",VLOOKUP(AJ257,Parametros!$A$8:$C$10,2,FALSE))</f>
        <v/>
      </c>
      <c r="AL257">
        <f>IF(Datos!A257="","",VLOOKUP(AJ257,Parametros!$A$8:$C$10,3,FALSE))</f>
        <v/>
      </c>
      <c r="AM257">
        <f>IF(Datos!A257="","",NORMSINV(AK257))</f>
        <v/>
      </c>
      <c r="AN257">
        <f>IF(Datos!A257="","",D257/Parametros!$B$4)</f>
        <v/>
      </c>
      <c r="AO257">
        <f>IF(Datos!A257="","",MAX(0,ROUNDUP(AM257*(AN257*Parametros!$B$3)*SQRT((AL257+E257)),0)))</f>
        <v/>
      </c>
      <c r="AP257">
        <f>IF(Datos!A257="","",MAX(1,ROUNDUP(AN257*(AL257+E257)+AM257*(AN257*Parametros!$B$3)*SQRT((AL257+E257)),0)))</f>
        <v/>
      </c>
      <c r="AQ257">
        <f>IF(Datos!A257="","",IF(Datos!J257="","",Datos!J257))</f>
        <v/>
      </c>
      <c r="AR257">
        <f>IF(OR(Datos!A257="",AQ257=""),"",MAX(0,AQ257-AP257))</f>
        <v/>
      </c>
      <c r="AS257" s="10">
        <f>IF(OR(Datos!A257="",AQ257=""),"",AR257*C257)</f>
        <v/>
      </c>
      <c r="AT257" s="12">
        <f>IF(OR(Datos!A257="",AQ257=""),"",IF(AQ257&lt;AO257,"SI",""))</f>
        <v/>
      </c>
      <c r="AU257">
        <f>IF(Datos!A257="","",IF(AT257="SI","Reponer ahora",IF(AND(AQ257&lt;&gt;"",AR257&gt;0),"Bajar "&amp;TEXT(AR257,"#,##0")&amp;" un.","En rango")))</f>
        <v/>
      </c>
    </row>
    <row r="258">
      <c r="A258">
        <f>IF(Datos!A258="","",Datos!A258)</f>
        <v/>
      </c>
      <c r="B258">
        <f>IF(Datos!A258="","",Datos!B258)</f>
        <v/>
      </c>
      <c r="C258">
        <f>IF(Datos!A258="","",IFERROR(MAX(0,N(Datos!D258)),0))</f>
        <v/>
      </c>
      <c r="D258">
        <f>IF(Datos!A258="","",IFERROR(MAX(0,N(Datos!E258)),0))</f>
        <v/>
      </c>
      <c r="E258">
        <f>IF(Datos!A258="","",IFERROR(MAX(0,N(Datos!F258)),0))</f>
        <v/>
      </c>
      <c r="F258">
        <f>IF(Datos!A258="","",IFERROR(MAX(0,N(Datos!G258)),0))</f>
        <v/>
      </c>
      <c r="G258">
        <f>IF(Datos!A258="","",IFERROR(MAX(0,N(Datos!H258)),0))</f>
        <v/>
      </c>
      <c r="H258">
        <f>IF(Datos!A258="","",IFERROR(MAX(0,N(Datos!I258)),0))</f>
        <v/>
      </c>
      <c r="J258">
        <f>IF(Datos!A258="","",IF(MAX(C$2:C$301)-MIN(C$2:C$301)&lt;0.000000001,0.5,(C258-MIN(C$2:C$301))/(MAX(C$2:C$301)-MIN(C$2:C$301)))+0.000000001)</f>
        <v/>
      </c>
      <c r="K258">
        <f>IF(Datos!A258="","",IF(MAX(D$2:D$301)-MIN(D$2:D$301)&lt;0.000000001,0.5,(D258-MIN(D$2:D$301))/(MAX(D$2:D$301)-MIN(D$2:D$301)))+0.000000001)</f>
        <v/>
      </c>
      <c r="L258">
        <f>IF(Datos!A258="","",IF(MAX(E$2:E$301)-MIN(E$2:E$301)&lt;0.000000001,0.5,(E258-MIN(E$2:E$301))/(MAX(E$2:E$301)-MIN(E$2:E$301)))+0.000000001)</f>
        <v/>
      </c>
      <c r="M258">
        <f>IF(Datos!A258="","",IF(MAX(F$2:F$301)-MIN(F$2:F$301)&lt;0.000000001,0.5,(F258-MIN(F$2:F$301))/(MAX(F$2:F$301)-MIN(F$2:F$301)))+0.000000001)</f>
        <v/>
      </c>
      <c r="N258">
        <f>IF(Datos!A258="","",IF(MAX(G$2:G$301)-MIN(G$2:G$301)&lt;0.000000001,0.5,(G258-MIN(G$2:G$301))/(MAX(G$2:G$301)-MIN(G$2:G$301)))+0.000000001)</f>
        <v/>
      </c>
      <c r="O258">
        <f>IF(Datos!A258="","",IF(MAX(H$2:H$301)-MIN(H$2:H$301)&lt;0.000000001,0.5,(H258-MIN(H$2:H$301))/(MAX(H$2:H$301)-MIN(H$2:H$301)))+0.000000001)</f>
        <v/>
      </c>
      <c r="Q258">
        <f>IF(Datos!A258="","",(J258/SUM(J$2:J$301))*LN(J258/SUM(J$2:J$301)))</f>
        <v/>
      </c>
      <c r="R258">
        <f>IF(Datos!A258="","",(K258/SUM(K$2:K$301))*LN(K258/SUM(K$2:K$301)))</f>
        <v/>
      </c>
      <c r="S258">
        <f>IF(Datos!A258="","",(L258/SUM(L$2:L$301))*LN(L258/SUM(L$2:L$301)))</f>
        <v/>
      </c>
      <c r="T258">
        <f>IF(Datos!A258="","",(M258/SUM(M$2:M$301))*LN(M258/SUM(M$2:M$301)))</f>
        <v/>
      </c>
      <c r="U258">
        <f>IF(Datos!A258="","",(N258/SUM(N$2:N$301))*LN(N258/SUM(N$2:N$301)))</f>
        <v/>
      </c>
      <c r="V258">
        <f>IF(Datos!A258="","",(O258/SUM(O$2:O$301))*LN(O258/SUM(O$2:O$301)))</f>
        <v/>
      </c>
      <c r="X258">
        <f>IF(Datos!A258="","",IF(SUMSQ(C$2:C$301)=0,0,C258/SQRT(SUMSQ(C$2:C$301)))*$BE$2)</f>
        <v/>
      </c>
      <c r="Y258">
        <f>IF(Datos!A258="","",IF(SUMSQ(D$2:D$301)=0,0,D258/SQRT(SUMSQ(D$2:D$301)))*$BE$3)</f>
        <v/>
      </c>
      <c r="Z258">
        <f>IF(Datos!A258="","",IF(SUMSQ(E$2:E$301)=0,0,E258/SQRT(SUMSQ(E$2:E$301)))*$BE$4)</f>
        <v/>
      </c>
      <c r="AA258">
        <f>IF(Datos!A258="","",IF(SUMSQ(F$2:F$301)=0,0,F258/SQRT(SUMSQ(F$2:F$301)))*$BE$5)</f>
        <v/>
      </c>
      <c r="AB258">
        <f>IF(Datos!A258="","",IF(SUMSQ(G$2:G$301)=0,0,G258/SQRT(SUMSQ(G$2:G$301)))*$BE$6)</f>
        <v/>
      </c>
      <c r="AC258">
        <f>IF(Datos!A258="","",IF(SUMSQ(H$2:H$301)=0,0,H258/SQRT(SUMSQ(H$2:H$301)))*$BE$7)</f>
        <v/>
      </c>
      <c r="AE258">
        <f>IF(Datos!A258="","",SQRT(SUMXMY2(X258:AC258,$X$303:$AC$303)))</f>
        <v/>
      </c>
      <c r="AF258">
        <f>IF(Datos!A258="","",SQRT(SUMXMY2(X258:AC258,$X$304:$AC$304)))</f>
        <v/>
      </c>
      <c r="AG258" s="11">
        <f>IF(Datos!A258="","",IF(AE258+AF258&lt;0.000000001,0.5,AF258/(AE258+AF258)))</f>
        <v/>
      </c>
      <c r="AH258">
        <f>IF(Datos!A258="","",AG258*MAX(C258*D258,1))</f>
        <v/>
      </c>
      <c r="AI258">
        <f>IF(Datos!A258="","",SUMIF($AH$2:$AH$301,"&gt;="&amp;AH258,$AH$2:$AH$301)/SUM($AH$2:$AH$301))</f>
        <v/>
      </c>
      <c r="AJ258" s="12">
        <f>IF(Datos!A258="","",IF(AI258&lt;=Parametros!$B$13,"A",IF(AI258&lt;=Parametros!$B$14,"B","C")))</f>
        <v/>
      </c>
      <c r="AK258" s="13">
        <f>IF(Datos!A258="","",VLOOKUP(AJ258,Parametros!$A$8:$C$10,2,FALSE))</f>
        <v/>
      </c>
      <c r="AL258">
        <f>IF(Datos!A258="","",VLOOKUP(AJ258,Parametros!$A$8:$C$10,3,FALSE))</f>
        <v/>
      </c>
      <c r="AM258">
        <f>IF(Datos!A258="","",NORMSINV(AK258))</f>
        <v/>
      </c>
      <c r="AN258">
        <f>IF(Datos!A258="","",D258/Parametros!$B$4)</f>
        <v/>
      </c>
      <c r="AO258">
        <f>IF(Datos!A258="","",MAX(0,ROUNDUP(AM258*(AN258*Parametros!$B$3)*SQRT((AL258+E258)),0)))</f>
        <v/>
      </c>
      <c r="AP258">
        <f>IF(Datos!A258="","",MAX(1,ROUNDUP(AN258*(AL258+E258)+AM258*(AN258*Parametros!$B$3)*SQRT((AL258+E258)),0)))</f>
        <v/>
      </c>
      <c r="AQ258">
        <f>IF(Datos!A258="","",IF(Datos!J258="","",Datos!J258))</f>
        <v/>
      </c>
      <c r="AR258">
        <f>IF(OR(Datos!A258="",AQ258=""),"",MAX(0,AQ258-AP258))</f>
        <v/>
      </c>
      <c r="AS258" s="10">
        <f>IF(OR(Datos!A258="",AQ258=""),"",AR258*C258)</f>
        <v/>
      </c>
      <c r="AT258" s="12">
        <f>IF(OR(Datos!A258="",AQ258=""),"",IF(AQ258&lt;AO258,"SI",""))</f>
        <v/>
      </c>
      <c r="AU258">
        <f>IF(Datos!A258="","",IF(AT258="SI","Reponer ahora",IF(AND(AQ258&lt;&gt;"",AR258&gt;0),"Bajar "&amp;TEXT(AR258,"#,##0")&amp;" un.","En rango")))</f>
        <v/>
      </c>
    </row>
    <row r="259">
      <c r="A259">
        <f>IF(Datos!A259="","",Datos!A259)</f>
        <v/>
      </c>
      <c r="B259">
        <f>IF(Datos!A259="","",Datos!B259)</f>
        <v/>
      </c>
      <c r="C259">
        <f>IF(Datos!A259="","",IFERROR(MAX(0,N(Datos!D259)),0))</f>
        <v/>
      </c>
      <c r="D259">
        <f>IF(Datos!A259="","",IFERROR(MAX(0,N(Datos!E259)),0))</f>
        <v/>
      </c>
      <c r="E259">
        <f>IF(Datos!A259="","",IFERROR(MAX(0,N(Datos!F259)),0))</f>
        <v/>
      </c>
      <c r="F259">
        <f>IF(Datos!A259="","",IFERROR(MAX(0,N(Datos!G259)),0))</f>
        <v/>
      </c>
      <c r="G259">
        <f>IF(Datos!A259="","",IFERROR(MAX(0,N(Datos!H259)),0))</f>
        <v/>
      </c>
      <c r="H259">
        <f>IF(Datos!A259="","",IFERROR(MAX(0,N(Datos!I259)),0))</f>
        <v/>
      </c>
      <c r="J259">
        <f>IF(Datos!A259="","",IF(MAX(C$2:C$301)-MIN(C$2:C$301)&lt;0.000000001,0.5,(C259-MIN(C$2:C$301))/(MAX(C$2:C$301)-MIN(C$2:C$301)))+0.000000001)</f>
        <v/>
      </c>
      <c r="K259">
        <f>IF(Datos!A259="","",IF(MAX(D$2:D$301)-MIN(D$2:D$301)&lt;0.000000001,0.5,(D259-MIN(D$2:D$301))/(MAX(D$2:D$301)-MIN(D$2:D$301)))+0.000000001)</f>
        <v/>
      </c>
      <c r="L259">
        <f>IF(Datos!A259="","",IF(MAX(E$2:E$301)-MIN(E$2:E$301)&lt;0.000000001,0.5,(E259-MIN(E$2:E$301))/(MAX(E$2:E$301)-MIN(E$2:E$301)))+0.000000001)</f>
        <v/>
      </c>
      <c r="M259">
        <f>IF(Datos!A259="","",IF(MAX(F$2:F$301)-MIN(F$2:F$301)&lt;0.000000001,0.5,(F259-MIN(F$2:F$301))/(MAX(F$2:F$301)-MIN(F$2:F$301)))+0.000000001)</f>
        <v/>
      </c>
      <c r="N259">
        <f>IF(Datos!A259="","",IF(MAX(G$2:G$301)-MIN(G$2:G$301)&lt;0.000000001,0.5,(G259-MIN(G$2:G$301))/(MAX(G$2:G$301)-MIN(G$2:G$301)))+0.000000001)</f>
        <v/>
      </c>
      <c r="O259">
        <f>IF(Datos!A259="","",IF(MAX(H$2:H$301)-MIN(H$2:H$301)&lt;0.000000001,0.5,(H259-MIN(H$2:H$301))/(MAX(H$2:H$301)-MIN(H$2:H$301)))+0.000000001)</f>
        <v/>
      </c>
      <c r="Q259">
        <f>IF(Datos!A259="","",(J259/SUM(J$2:J$301))*LN(J259/SUM(J$2:J$301)))</f>
        <v/>
      </c>
      <c r="R259">
        <f>IF(Datos!A259="","",(K259/SUM(K$2:K$301))*LN(K259/SUM(K$2:K$301)))</f>
        <v/>
      </c>
      <c r="S259">
        <f>IF(Datos!A259="","",(L259/SUM(L$2:L$301))*LN(L259/SUM(L$2:L$301)))</f>
        <v/>
      </c>
      <c r="T259">
        <f>IF(Datos!A259="","",(M259/SUM(M$2:M$301))*LN(M259/SUM(M$2:M$301)))</f>
        <v/>
      </c>
      <c r="U259">
        <f>IF(Datos!A259="","",(N259/SUM(N$2:N$301))*LN(N259/SUM(N$2:N$301)))</f>
        <v/>
      </c>
      <c r="V259">
        <f>IF(Datos!A259="","",(O259/SUM(O$2:O$301))*LN(O259/SUM(O$2:O$301)))</f>
        <v/>
      </c>
      <c r="X259">
        <f>IF(Datos!A259="","",IF(SUMSQ(C$2:C$301)=0,0,C259/SQRT(SUMSQ(C$2:C$301)))*$BE$2)</f>
        <v/>
      </c>
      <c r="Y259">
        <f>IF(Datos!A259="","",IF(SUMSQ(D$2:D$301)=0,0,D259/SQRT(SUMSQ(D$2:D$301)))*$BE$3)</f>
        <v/>
      </c>
      <c r="Z259">
        <f>IF(Datos!A259="","",IF(SUMSQ(E$2:E$301)=0,0,E259/SQRT(SUMSQ(E$2:E$301)))*$BE$4)</f>
        <v/>
      </c>
      <c r="AA259">
        <f>IF(Datos!A259="","",IF(SUMSQ(F$2:F$301)=0,0,F259/SQRT(SUMSQ(F$2:F$301)))*$BE$5)</f>
        <v/>
      </c>
      <c r="AB259">
        <f>IF(Datos!A259="","",IF(SUMSQ(G$2:G$301)=0,0,G259/SQRT(SUMSQ(G$2:G$301)))*$BE$6)</f>
        <v/>
      </c>
      <c r="AC259">
        <f>IF(Datos!A259="","",IF(SUMSQ(H$2:H$301)=0,0,H259/SQRT(SUMSQ(H$2:H$301)))*$BE$7)</f>
        <v/>
      </c>
      <c r="AE259">
        <f>IF(Datos!A259="","",SQRT(SUMXMY2(X259:AC259,$X$303:$AC$303)))</f>
        <v/>
      </c>
      <c r="AF259">
        <f>IF(Datos!A259="","",SQRT(SUMXMY2(X259:AC259,$X$304:$AC$304)))</f>
        <v/>
      </c>
      <c r="AG259" s="11">
        <f>IF(Datos!A259="","",IF(AE259+AF259&lt;0.000000001,0.5,AF259/(AE259+AF259)))</f>
        <v/>
      </c>
      <c r="AH259">
        <f>IF(Datos!A259="","",AG259*MAX(C259*D259,1))</f>
        <v/>
      </c>
      <c r="AI259">
        <f>IF(Datos!A259="","",SUMIF($AH$2:$AH$301,"&gt;="&amp;AH259,$AH$2:$AH$301)/SUM($AH$2:$AH$301))</f>
        <v/>
      </c>
      <c r="AJ259" s="12">
        <f>IF(Datos!A259="","",IF(AI259&lt;=Parametros!$B$13,"A",IF(AI259&lt;=Parametros!$B$14,"B","C")))</f>
        <v/>
      </c>
      <c r="AK259" s="13">
        <f>IF(Datos!A259="","",VLOOKUP(AJ259,Parametros!$A$8:$C$10,2,FALSE))</f>
        <v/>
      </c>
      <c r="AL259">
        <f>IF(Datos!A259="","",VLOOKUP(AJ259,Parametros!$A$8:$C$10,3,FALSE))</f>
        <v/>
      </c>
      <c r="AM259">
        <f>IF(Datos!A259="","",NORMSINV(AK259))</f>
        <v/>
      </c>
      <c r="AN259">
        <f>IF(Datos!A259="","",D259/Parametros!$B$4)</f>
        <v/>
      </c>
      <c r="AO259">
        <f>IF(Datos!A259="","",MAX(0,ROUNDUP(AM259*(AN259*Parametros!$B$3)*SQRT((AL259+E259)),0)))</f>
        <v/>
      </c>
      <c r="AP259">
        <f>IF(Datos!A259="","",MAX(1,ROUNDUP(AN259*(AL259+E259)+AM259*(AN259*Parametros!$B$3)*SQRT((AL259+E259)),0)))</f>
        <v/>
      </c>
      <c r="AQ259">
        <f>IF(Datos!A259="","",IF(Datos!J259="","",Datos!J259))</f>
        <v/>
      </c>
      <c r="AR259">
        <f>IF(OR(Datos!A259="",AQ259=""),"",MAX(0,AQ259-AP259))</f>
        <v/>
      </c>
      <c r="AS259" s="10">
        <f>IF(OR(Datos!A259="",AQ259=""),"",AR259*C259)</f>
        <v/>
      </c>
      <c r="AT259" s="12">
        <f>IF(OR(Datos!A259="",AQ259=""),"",IF(AQ259&lt;AO259,"SI",""))</f>
        <v/>
      </c>
      <c r="AU259">
        <f>IF(Datos!A259="","",IF(AT259="SI","Reponer ahora",IF(AND(AQ259&lt;&gt;"",AR259&gt;0),"Bajar "&amp;TEXT(AR259,"#,##0")&amp;" un.","En rango")))</f>
        <v/>
      </c>
    </row>
    <row r="260">
      <c r="A260">
        <f>IF(Datos!A260="","",Datos!A260)</f>
        <v/>
      </c>
      <c r="B260">
        <f>IF(Datos!A260="","",Datos!B260)</f>
        <v/>
      </c>
      <c r="C260">
        <f>IF(Datos!A260="","",IFERROR(MAX(0,N(Datos!D260)),0))</f>
        <v/>
      </c>
      <c r="D260">
        <f>IF(Datos!A260="","",IFERROR(MAX(0,N(Datos!E260)),0))</f>
        <v/>
      </c>
      <c r="E260">
        <f>IF(Datos!A260="","",IFERROR(MAX(0,N(Datos!F260)),0))</f>
        <v/>
      </c>
      <c r="F260">
        <f>IF(Datos!A260="","",IFERROR(MAX(0,N(Datos!G260)),0))</f>
        <v/>
      </c>
      <c r="G260">
        <f>IF(Datos!A260="","",IFERROR(MAX(0,N(Datos!H260)),0))</f>
        <v/>
      </c>
      <c r="H260">
        <f>IF(Datos!A260="","",IFERROR(MAX(0,N(Datos!I260)),0))</f>
        <v/>
      </c>
      <c r="J260">
        <f>IF(Datos!A260="","",IF(MAX(C$2:C$301)-MIN(C$2:C$301)&lt;0.000000001,0.5,(C260-MIN(C$2:C$301))/(MAX(C$2:C$301)-MIN(C$2:C$301)))+0.000000001)</f>
        <v/>
      </c>
      <c r="K260">
        <f>IF(Datos!A260="","",IF(MAX(D$2:D$301)-MIN(D$2:D$301)&lt;0.000000001,0.5,(D260-MIN(D$2:D$301))/(MAX(D$2:D$301)-MIN(D$2:D$301)))+0.000000001)</f>
        <v/>
      </c>
      <c r="L260">
        <f>IF(Datos!A260="","",IF(MAX(E$2:E$301)-MIN(E$2:E$301)&lt;0.000000001,0.5,(E260-MIN(E$2:E$301))/(MAX(E$2:E$301)-MIN(E$2:E$301)))+0.000000001)</f>
        <v/>
      </c>
      <c r="M260">
        <f>IF(Datos!A260="","",IF(MAX(F$2:F$301)-MIN(F$2:F$301)&lt;0.000000001,0.5,(F260-MIN(F$2:F$301))/(MAX(F$2:F$301)-MIN(F$2:F$301)))+0.000000001)</f>
        <v/>
      </c>
      <c r="N260">
        <f>IF(Datos!A260="","",IF(MAX(G$2:G$301)-MIN(G$2:G$301)&lt;0.000000001,0.5,(G260-MIN(G$2:G$301))/(MAX(G$2:G$301)-MIN(G$2:G$301)))+0.000000001)</f>
        <v/>
      </c>
      <c r="O260">
        <f>IF(Datos!A260="","",IF(MAX(H$2:H$301)-MIN(H$2:H$301)&lt;0.000000001,0.5,(H260-MIN(H$2:H$301))/(MAX(H$2:H$301)-MIN(H$2:H$301)))+0.000000001)</f>
        <v/>
      </c>
      <c r="Q260">
        <f>IF(Datos!A260="","",(J260/SUM(J$2:J$301))*LN(J260/SUM(J$2:J$301)))</f>
        <v/>
      </c>
      <c r="R260">
        <f>IF(Datos!A260="","",(K260/SUM(K$2:K$301))*LN(K260/SUM(K$2:K$301)))</f>
        <v/>
      </c>
      <c r="S260">
        <f>IF(Datos!A260="","",(L260/SUM(L$2:L$301))*LN(L260/SUM(L$2:L$301)))</f>
        <v/>
      </c>
      <c r="T260">
        <f>IF(Datos!A260="","",(M260/SUM(M$2:M$301))*LN(M260/SUM(M$2:M$301)))</f>
        <v/>
      </c>
      <c r="U260">
        <f>IF(Datos!A260="","",(N260/SUM(N$2:N$301))*LN(N260/SUM(N$2:N$301)))</f>
        <v/>
      </c>
      <c r="V260">
        <f>IF(Datos!A260="","",(O260/SUM(O$2:O$301))*LN(O260/SUM(O$2:O$301)))</f>
        <v/>
      </c>
      <c r="X260">
        <f>IF(Datos!A260="","",IF(SUMSQ(C$2:C$301)=0,0,C260/SQRT(SUMSQ(C$2:C$301)))*$BE$2)</f>
        <v/>
      </c>
      <c r="Y260">
        <f>IF(Datos!A260="","",IF(SUMSQ(D$2:D$301)=0,0,D260/SQRT(SUMSQ(D$2:D$301)))*$BE$3)</f>
        <v/>
      </c>
      <c r="Z260">
        <f>IF(Datos!A260="","",IF(SUMSQ(E$2:E$301)=0,0,E260/SQRT(SUMSQ(E$2:E$301)))*$BE$4)</f>
        <v/>
      </c>
      <c r="AA260">
        <f>IF(Datos!A260="","",IF(SUMSQ(F$2:F$301)=0,0,F260/SQRT(SUMSQ(F$2:F$301)))*$BE$5)</f>
        <v/>
      </c>
      <c r="AB260">
        <f>IF(Datos!A260="","",IF(SUMSQ(G$2:G$301)=0,0,G260/SQRT(SUMSQ(G$2:G$301)))*$BE$6)</f>
        <v/>
      </c>
      <c r="AC260">
        <f>IF(Datos!A260="","",IF(SUMSQ(H$2:H$301)=0,0,H260/SQRT(SUMSQ(H$2:H$301)))*$BE$7)</f>
        <v/>
      </c>
      <c r="AE260">
        <f>IF(Datos!A260="","",SQRT(SUMXMY2(X260:AC260,$X$303:$AC$303)))</f>
        <v/>
      </c>
      <c r="AF260">
        <f>IF(Datos!A260="","",SQRT(SUMXMY2(X260:AC260,$X$304:$AC$304)))</f>
        <v/>
      </c>
      <c r="AG260" s="11">
        <f>IF(Datos!A260="","",IF(AE260+AF260&lt;0.000000001,0.5,AF260/(AE260+AF260)))</f>
        <v/>
      </c>
      <c r="AH260">
        <f>IF(Datos!A260="","",AG260*MAX(C260*D260,1))</f>
        <v/>
      </c>
      <c r="AI260">
        <f>IF(Datos!A260="","",SUMIF($AH$2:$AH$301,"&gt;="&amp;AH260,$AH$2:$AH$301)/SUM($AH$2:$AH$301))</f>
        <v/>
      </c>
      <c r="AJ260" s="12">
        <f>IF(Datos!A260="","",IF(AI260&lt;=Parametros!$B$13,"A",IF(AI260&lt;=Parametros!$B$14,"B","C")))</f>
        <v/>
      </c>
      <c r="AK260" s="13">
        <f>IF(Datos!A260="","",VLOOKUP(AJ260,Parametros!$A$8:$C$10,2,FALSE))</f>
        <v/>
      </c>
      <c r="AL260">
        <f>IF(Datos!A260="","",VLOOKUP(AJ260,Parametros!$A$8:$C$10,3,FALSE))</f>
        <v/>
      </c>
      <c r="AM260">
        <f>IF(Datos!A260="","",NORMSINV(AK260))</f>
        <v/>
      </c>
      <c r="AN260">
        <f>IF(Datos!A260="","",D260/Parametros!$B$4)</f>
        <v/>
      </c>
      <c r="AO260">
        <f>IF(Datos!A260="","",MAX(0,ROUNDUP(AM260*(AN260*Parametros!$B$3)*SQRT((AL260+E260)),0)))</f>
        <v/>
      </c>
      <c r="AP260">
        <f>IF(Datos!A260="","",MAX(1,ROUNDUP(AN260*(AL260+E260)+AM260*(AN260*Parametros!$B$3)*SQRT((AL260+E260)),0)))</f>
        <v/>
      </c>
      <c r="AQ260">
        <f>IF(Datos!A260="","",IF(Datos!J260="","",Datos!J260))</f>
        <v/>
      </c>
      <c r="AR260">
        <f>IF(OR(Datos!A260="",AQ260=""),"",MAX(0,AQ260-AP260))</f>
        <v/>
      </c>
      <c r="AS260" s="10">
        <f>IF(OR(Datos!A260="",AQ260=""),"",AR260*C260)</f>
        <v/>
      </c>
      <c r="AT260" s="12">
        <f>IF(OR(Datos!A260="",AQ260=""),"",IF(AQ260&lt;AO260,"SI",""))</f>
        <v/>
      </c>
      <c r="AU260">
        <f>IF(Datos!A260="","",IF(AT260="SI","Reponer ahora",IF(AND(AQ260&lt;&gt;"",AR260&gt;0),"Bajar "&amp;TEXT(AR260,"#,##0")&amp;" un.","En rango")))</f>
        <v/>
      </c>
    </row>
    <row r="261">
      <c r="A261">
        <f>IF(Datos!A261="","",Datos!A261)</f>
        <v/>
      </c>
      <c r="B261">
        <f>IF(Datos!A261="","",Datos!B261)</f>
        <v/>
      </c>
      <c r="C261">
        <f>IF(Datos!A261="","",IFERROR(MAX(0,N(Datos!D261)),0))</f>
        <v/>
      </c>
      <c r="D261">
        <f>IF(Datos!A261="","",IFERROR(MAX(0,N(Datos!E261)),0))</f>
        <v/>
      </c>
      <c r="E261">
        <f>IF(Datos!A261="","",IFERROR(MAX(0,N(Datos!F261)),0))</f>
        <v/>
      </c>
      <c r="F261">
        <f>IF(Datos!A261="","",IFERROR(MAX(0,N(Datos!G261)),0))</f>
        <v/>
      </c>
      <c r="G261">
        <f>IF(Datos!A261="","",IFERROR(MAX(0,N(Datos!H261)),0))</f>
        <v/>
      </c>
      <c r="H261">
        <f>IF(Datos!A261="","",IFERROR(MAX(0,N(Datos!I261)),0))</f>
        <v/>
      </c>
      <c r="J261">
        <f>IF(Datos!A261="","",IF(MAX(C$2:C$301)-MIN(C$2:C$301)&lt;0.000000001,0.5,(C261-MIN(C$2:C$301))/(MAX(C$2:C$301)-MIN(C$2:C$301)))+0.000000001)</f>
        <v/>
      </c>
      <c r="K261">
        <f>IF(Datos!A261="","",IF(MAX(D$2:D$301)-MIN(D$2:D$301)&lt;0.000000001,0.5,(D261-MIN(D$2:D$301))/(MAX(D$2:D$301)-MIN(D$2:D$301)))+0.000000001)</f>
        <v/>
      </c>
      <c r="L261">
        <f>IF(Datos!A261="","",IF(MAX(E$2:E$301)-MIN(E$2:E$301)&lt;0.000000001,0.5,(E261-MIN(E$2:E$301))/(MAX(E$2:E$301)-MIN(E$2:E$301)))+0.000000001)</f>
        <v/>
      </c>
      <c r="M261">
        <f>IF(Datos!A261="","",IF(MAX(F$2:F$301)-MIN(F$2:F$301)&lt;0.000000001,0.5,(F261-MIN(F$2:F$301))/(MAX(F$2:F$301)-MIN(F$2:F$301)))+0.000000001)</f>
        <v/>
      </c>
      <c r="N261">
        <f>IF(Datos!A261="","",IF(MAX(G$2:G$301)-MIN(G$2:G$301)&lt;0.000000001,0.5,(G261-MIN(G$2:G$301))/(MAX(G$2:G$301)-MIN(G$2:G$301)))+0.000000001)</f>
        <v/>
      </c>
      <c r="O261">
        <f>IF(Datos!A261="","",IF(MAX(H$2:H$301)-MIN(H$2:H$301)&lt;0.000000001,0.5,(H261-MIN(H$2:H$301))/(MAX(H$2:H$301)-MIN(H$2:H$301)))+0.000000001)</f>
        <v/>
      </c>
      <c r="Q261">
        <f>IF(Datos!A261="","",(J261/SUM(J$2:J$301))*LN(J261/SUM(J$2:J$301)))</f>
        <v/>
      </c>
      <c r="R261">
        <f>IF(Datos!A261="","",(K261/SUM(K$2:K$301))*LN(K261/SUM(K$2:K$301)))</f>
        <v/>
      </c>
      <c r="S261">
        <f>IF(Datos!A261="","",(L261/SUM(L$2:L$301))*LN(L261/SUM(L$2:L$301)))</f>
        <v/>
      </c>
      <c r="T261">
        <f>IF(Datos!A261="","",(M261/SUM(M$2:M$301))*LN(M261/SUM(M$2:M$301)))</f>
        <v/>
      </c>
      <c r="U261">
        <f>IF(Datos!A261="","",(N261/SUM(N$2:N$301))*LN(N261/SUM(N$2:N$301)))</f>
        <v/>
      </c>
      <c r="V261">
        <f>IF(Datos!A261="","",(O261/SUM(O$2:O$301))*LN(O261/SUM(O$2:O$301)))</f>
        <v/>
      </c>
      <c r="X261">
        <f>IF(Datos!A261="","",IF(SUMSQ(C$2:C$301)=0,0,C261/SQRT(SUMSQ(C$2:C$301)))*$BE$2)</f>
        <v/>
      </c>
      <c r="Y261">
        <f>IF(Datos!A261="","",IF(SUMSQ(D$2:D$301)=0,0,D261/SQRT(SUMSQ(D$2:D$301)))*$BE$3)</f>
        <v/>
      </c>
      <c r="Z261">
        <f>IF(Datos!A261="","",IF(SUMSQ(E$2:E$301)=0,0,E261/SQRT(SUMSQ(E$2:E$301)))*$BE$4)</f>
        <v/>
      </c>
      <c r="AA261">
        <f>IF(Datos!A261="","",IF(SUMSQ(F$2:F$301)=0,0,F261/SQRT(SUMSQ(F$2:F$301)))*$BE$5)</f>
        <v/>
      </c>
      <c r="AB261">
        <f>IF(Datos!A261="","",IF(SUMSQ(G$2:G$301)=0,0,G261/SQRT(SUMSQ(G$2:G$301)))*$BE$6)</f>
        <v/>
      </c>
      <c r="AC261">
        <f>IF(Datos!A261="","",IF(SUMSQ(H$2:H$301)=0,0,H261/SQRT(SUMSQ(H$2:H$301)))*$BE$7)</f>
        <v/>
      </c>
      <c r="AE261">
        <f>IF(Datos!A261="","",SQRT(SUMXMY2(X261:AC261,$X$303:$AC$303)))</f>
        <v/>
      </c>
      <c r="AF261">
        <f>IF(Datos!A261="","",SQRT(SUMXMY2(X261:AC261,$X$304:$AC$304)))</f>
        <v/>
      </c>
      <c r="AG261" s="11">
        <f>IF(Datos!A261="","",IF(AE261+AF261&lt;0.000000001,0.5,AF261/(AE261+AF261)))</f>
        <v/>
      </c>
      <c r="AH261">
        <f>IF(Datos!A261="","",AG261*MAX(C261*D261,1))</f>
        <v/>
      </c>
      <c r="AI261">
        <f>IF(Datos!A261="","",SUMIF($AH$2:$AH$301,"&gt;="&amp;AH261,$AH$2:$AH$301)/SUM($AH$2:$AH$301))</f>
        <v/>
      </c>
      <c r="AJ261" s="12">
        <f>IF(Datos!A261="","",IF(AI261&lt;=Parametros!$B$13,"A",IF(AI261&lt;=Parametros!$B$14,"B","C")))</f>
        <v/>
      </c>
      <c r="AK261" s="13">
        <f>IF(Datos!A261="","",VLOOKUP(AJ261,Parametros!$A$8:$C$10,2,FALSE))</f>
        <v/>
      </c>
      <c r="AL261">
        <f>IF(Datos!A261="","",VLOOKUP(AJ261,Parametros!$A$8:$C$10,3,FALSE))</f>
        <v/>
      </c>
      <c r="AM261">
        <f>IF(Datos!A261="","",NORMSINV(AK261))</f>
        <v/>
      </c>
      <c r="AN261">
        <f>IF(Datos!A261="","",D261/Parametros!$B$4)</f>
        <v/>
      </c>
      <c r="AO261">
        <f>IF(Datos!A261="","",MAX(0,ROUNDUP(AM261*(AN261*Parametros!$B$3)*SQRT((AL261+E261)),0)))</f>
        <v/>
      </c>
      <c r="AP261">
        <f>IF(Datos!A261="","",MAX(1,ROUNDUP(AN261*(AL261+E261)+AM261*(AN261*Parametros!$B$3)*SQRT((AL261+E261)),0)))</f>
        <v/>
      </c>
      <c r="AQ261">
        <f>IF(Datos!A261="","",IF(Datos!J261="","",Datos!J261))</f>
        <v/>
      </c>
      <c r="AR261">
        <f>IF(OR(Datos!A261="",AQ261=""),"",MAX(0,AQ261-AP261))</f>
        <v/>
      </c>
      <c r="AS261" s="10">
        <f>IF(OR(Datos!A261="",AQ261=""),"",AR261*C261)</f>
        <v/>
      </c>
      <c r="AT261" s="12">
        <f>IF(OR(Datos!A261="",AQ261=""),"",IF(AQ261&lt;AO261,"SI",""))</f>
        <v/>
      </c>
      <c r="AU261">
        <f>IF(Datos!A261="","",IF(AT261="SI","Reponer ahora",IF(AND(AQ261&lt;&gt;"",AR261&gt;0),"Bajar "&amp;TEXT(AR261,"#,##0")&amp;" un.","En rango")))</f>
        <v/>
      </c>
    </row>
    <row r="262">
      <c r="A262">
        <f>IF(Datos!A262="","",Datos!A262)</f>
        <v/>
      </c>
      <c r="B262">
        <f>IF(Datos!A262="","",Datos!B262)</f>
        <v/>
      </c>
      <c r="C262">
        <f>IF(Datos!A262="","",IFERROR(MAX(0,N(Datos!D262)),0))</f>
        <v/>
      </c>
      <c r="D262">
        <f>IF(Datos!A262="","",IFERROR(MAX(0,N(Datos!E262)),0))</f>
        <v/>
      </c>
      <c r="E262">
        <f>IF(Datos!A262="","",IFERROR(MAX(0,N(Datos!F262)),0))</f>
        <v/>
      </c>
      <c r="F262">
        <f>IF(Datos!A262="","",IFERROR(MAX(0,N(Datos!G262)),0))</f>
        <v/>
      </c>
      <c r="G262">
        <f>IF(Datos!A262="","",IFERROR(MAX(0,N(Datos!H262)),0))</f>
        <v/>
      </c>
      <c r="H262">
        <f>IF(Datos!A262="","",IFERROR(MAX(0,N(Datos!I262)),0))</f>
        <v/>
      </c>
      <c r="J262">
        <f>IF(Datos!A262="","",IF(MAX(C$2:C$301)-MIN(C$2:C$301)&lt;0.000000001,0.5,(C262-MIN(C$2:C$301))/(MAX(C$2:C$301)-MIN(C$2:C$301)))+0.000000001)</f>
        <v/>
      </c>
      <c r="K262">
        <f>IF(Datos!A262="","",IF(MAX(D$2:D$301)-MIN(D$2:D$301)&lt;0.000000001,0.5,(D262-MIN(D$2:D$301))/(MAX(D$2:D$301)-MIN(D$2:D$301)))+0.000000001)</f>
        <v/>
      </c>
      <c r="L262">
        <f>IF(Datos!A262="","",IF(MAX(E$2:E$301)-MIN(E$2:E$301)&lt;0.000000001,0.5,(E262-MIN(E$2:E$301))/(MAX(E$2:E$301)-MIN(E$2:E$301)))+0.000000001)</f>
        <v/>
      </c>
      <c r="M262">
        <f>IF(Datos!A262="","",IF(MAX(F$2:F$301)-MIN(F$2:F$301)&lt;0.000000001,0.5,(F262-MIN(F$2:F$301))/(MAX(F$2:F$301)-MIN(F$2:F$301)))+0.000000001)</f>
        <v/>
      </c>
      <c r="N262">
        <f>IF(Datos!A262="","",IF(MAX(G$2:G$301)-MIN(G$2:G$301)&lt;0.000000001,0.5,(G262-MIN(G$2:G$301))/(MAX(G$2:G$301)-MIN(G$2:G$301)))+0.000000001)</f>
        <v/>
      </c>
      <c r="O262">
        <f>IF(Datos!A262="","",IF(MAX(H$2:H$301)-MIN(H$2:H$301)&lt;0.000000001,0.5,(H262-MIN(H$2:H$301))/(MAX(H$2:H$301)-MIN(H$2:H$301)))+0.000000001)</f>
        <v/>
      </c>
      <c r="Q262">
        <f>IF(Datos!A262="","",(J262/SUM(J$2:J$301))*LN(J262/SUM(J$2:J$301)))</f>
        <v/>
      </c>
      <c r="R262">
        <f>IF(Datos!A262="","",(K262/SUM(K$2:K$301))*LN(K262/SUM(K$2:K$301)))</f>
        <v/>
      </c>
      <c r="S262">
        <f>IF(Datos!A262="","",(L262/SUM(L$2:L$301))*LN(L262/SUM(L$2:L$301)))</f>
        <v/>
      </c>
      <c r="T262">
        <f>IF(Datos!A262="","",(M262/SUM(M$2:M$301))*LN(M262/SUM(M$2:M$301)))</f>
        <v/>
      </c>
      <c r="U262">
        <f>IF(Datos!A262="","",(N262/SUM(N$2:N$301))*LN(N262/SUM(N$2:N$301)))</f>
        <v/>
      </c>
      <c r="V262">
        <f>IF(Datos!A262="","",(O262/SUM(O$2:O$301))*LN(O262/SUM(O$2:O$301)))</f>
        <v/>
      </c>
      <c r="X262">
        <f>IF(Datos!A262="","",IF(SUMSQ(C$2:C$301)=0,0,C262/SQRT(SUMSQ(C$2:C$301)))*$BE$2)</f>
        <v/>
      </c>
      <c r="Y262">
        <f>IF(Datos!A262="","",IF(SUMSQ(D$2:D$301)=0,0,D262/SQRT(SUMSQ(D$2:D$301)))*$BE$3)</f>
        <v/>
      </c>
      <c r="Z262">
        <f>IF(Datos!A262="","",IF(SUMSQ(E$2:E$301)=0,0,E262/SQRT(SUMSQ(E$2:E$301)))*$BE$4)</f>
        <v/>
      </c>
      <c r="AA262">
        <f>IF(Datos!A262="","",IF(SUMSQ(F$2:F$301)=0,0,F262/SQRT(SUMSQ(F$2:F$301)))*$BE$5)</f>
        <v/>
      </c>
      <c r="AB262">
        <f>IF(Datos!A262="","",IF(SUMSQ(G$2:G$301)=0,0,G262/SQRT(SUMSQ(G$2:G$301)))*$BE$6)</f>
        <v/>
      </c>
      <c r="AC262">
        <f>IF(Datos!A262="","",IF(SUMSQ(H$2:H$301)=0,0,H262/SQRT(SUMSQ(H$2:H$301)))*$BE$7)</f>
        <v/>
      </c>
      <c r="AE262">
        <f>IF(Datos!A262="","",SQRT(SUMXMY2(X262:AC262,$X$303:$AC$303)))</f>
        <v/>
      </c>
      <c r="AF262">
        <f>IF(Datos!A262="","",SQRT(SUMXMY2(X262:AC262,$X$304:$AC$304)))</f>
        <v/>
      </c>
      <c r="AG262" s="11">
        <f>IF(Datos!A262="","",IF(AE262+AF262&lt;0.000000001,0.5,AF262/(AE262+AF262)))</f>
        <v/>
      </c>
      <c r="AH262">
        <f>IF(Datos!A262="","",AG262*MAX(C262*D262,1))</f>
        <v/>
      </c>
      <c r="AI262">
        <f>IF(Datos!A262="","",SUMIF($AH$2:$AH$301,"&gt;="&amp;AH262,$AH$2:$AH$301)/SUM($AH$2:$AH$301))</f>
        <v/>
      </c>
      <c r="AJ262" s="12">
        <f>IF(Datos!A262="","",IF(AI262&lt;=Parametros!$B$13,"A",IF(AI262&lt;=Parametros!$B$14,"B","C")))</f>
        <v/>
      </c>
      <c r="AK262" s="13">
        <f>IF(Datos!A262="","",VLOOKUP(AJ262,Parametros!$A$8:$C$10,2,FALSE))</f>
        <v/>
      </c>
      <c r="AL262">
        <f>IF(Datos!A262="","",VLOOKUP(AJ262,Parametros!$A$8:$C$10,3,FALSE))</f>
        <v/>
      </c>
      <c r="AM262">
        <f>IF(Datos!A262="","",NORMSINV(AK262))</f>
        <v/>
      </c>
      <c r="AN262">
        <f>IF(Datos!A262="","",D262/Parametros!$B$4)</f>
        <v/>
      </c>
      <c r="AO262">
        <f>IF(Datos!A262="","",MAX(0,ROUNDUP(AM262*(AN262*Parametros!$B$3)*SQRT((AL262+E262)),0)))</f>
        <v/>
      </c>
      <c r="AP262">
        <f>IF(Datos!A262="","",MAX(1,ROUNDUP(AN262*(AL262+E262)+AM262*(AN262*Parametros!$B$3)*SQRT((AL262+E262)),0)))</f>
        <v/>
      </c>
      <c r="AQ262">
        <f>IF(Datos!A262="","",IF(Datos!J262="","",Datos!J262))</f>
        <v/>
      </c>
      <c r="AR262">
        <f>IF(OR(Datos!A262="",AQ262=""),"",MAX(0,AQ262-AP262))</f>
        <v/>
      </c>
      <c r="AS262" s="10">
        <f>IF(OR(Datos!A262="",AQ262=""),"",AR262*C262)</f>
        <v/>
      </c>
      <c r="AT262" s="12">
        <f>IF(OR(Datos!A262="",AQ262=""),"",IF(AQ262&lt;AO262,"SI",""))</f>
        <v/>
      </c>
      <c r="AU262">
        <f>IF(Datos!A262="","",IF(AT262="SI","Reponer ahora",IF(AND(AQ262&lt;&gt;"",AR262&gt;0),"Bajar "&amp;TEXT(AR262,"#,##0")&amp;" un.","En rango")))</f>
        <v/>
      </c>
    </row>
    <row r="263">
      <c r="A263">
        <f>IF(Datos!A263="","",Datos!A263)</f>
        <v/>
      </c>
      <c r="B263">
        <f>IF(Datos!A263="","",Datos!B263)</f>
        <v/>
      </c>
      <c r="C263">
        <f>IF(Datos!A263="","",IFERROR(MAX(0,N(Datos!D263)),0))</f>
        <v/>
      </c>
      <c r="D263">
        <f>IF(Datos!A263="","",IFERROR(MAX(0,N(Datos!E263)),0))</f>
        <v/>
      </c>
      <c r="E263">
        <f>IF(Datos!A263="","",IFERROR(MAX(0,N(Datos!F263)),0))</f>
        <v/>
      </c>
      <c r="F263">
        <f>IF(Datos!A263="","",IFERROR(MAX(0,N(Datos!G263)),0))</f>
        <v/>
      </c>
      <c r="G263">
        <f>IF(Datos!A263="","",IFERROR(MAX(0,N(Datos!H263)),0))</f>
        <v/>
      </c>
      <c r="H263">
        <f>IF(Datos!A263="","",IFERROR(MAX(0,N(Datos!I263)),0))</f>
        <v/>
      </c>
      <c r="J263">
        <f>IF(Datos!A263="","",IF(MAX(C$2:C$301)-MIN(C$2:C$301)&lt;0.000000001,0.5,(C263-MIN(C$2:C$301))/(MAX(C$2:C$301)-MIN(C$2:C$301)))+0.000000001)</f>
        <v/>
      </c>
      <c r="K263">
        <f>IF(Datos!A263="","",IF(MAX(D$2:D$301)-MIN(D$2:D$301)&lt;0.000000001,0.5,(D263-MIN(D$2:D$301))/(MAX(D$2:D$301)-MIN(D$2:D$301)))+0.000000001)</f>
        <v/>
      </c>
      <c r="L263">
        <f>IF(Datos!A263="","",IF(MAX(E$2:E$301)-MIN(E$2:E$301)&lt;0.000000001,0.5,(E263-MIN(E$2:E$301))/(MAX(E$2:E$301)-MIN(E$2:E$301)))+0.000000001)</f>
        <v/>
      </c>
      <c r="M263">
        <f>IF(Datos!A263="","",IF(MAX(F$2:F$301)-MIN(F$2:F$301)&lt;0.000000001,0.5,(F263-MIN(F$2:F$301))/(MAX(F$2:F$301)-MIN(F$2:F$301)))+0.000000001)</f>
        <v/>
      </c>
      <c r="N263">
        <f>IF(Datos!A263="","",IF(MAX(G$2:G$301)-MIN(G$2:G$301)&lt;0.000000001,0.5,(G263-MIN(G$2:G$301))/(MAX(G$2:G$301)-MIN(G$2:G$301)))+0.000000001)</f>
        <v/>
      </c>
      <c r="O263">
        <f>IF(Datos!A263="","",IF(MAX(H$2:H$301)-MIN(H$2:H$301)&lt;0.000000001,0.5,(H263-MIN(H$2:H$301))/(MAX(H$2:H$301)-MIN(H$2:H$301)))+0.000000001)</f>
        <v/>
      </c>
      <c r="Q263">
        <f>IF(Datos!A263="","",(J263/SUM(J$2:J$301))*LN(J263/SUM(J$2:J$301)))</f>
        <v/>
      </c>
      <c r="R263">
        <f>IF(Datos!A263="","",(K263/SUM(K$2:K$301))*LN(K263/SUM(K$2:K$301)))</f>
        <v/>
      </c>
      <c r="S263">
        <f>IF(Datos!A263="","",(L263/SUM(L$2:L$301))*LN(L263/SUM(L$2:L$301)))</f>
        <v/>
      </c>
      <c r="T263">
        <f>IF(Datos!A263="","",(M263/SUM(M$2:M$301))*LN(M263/SUM(M$2:M$301)))</f>
        <v/>
      </c>
      <c r="U263">
        <f>IF(Datos!A263="","",(N263/SUM(N$2:N$301))*LN(N263/SUM(N$2:N$301)))</f>
        <v/>
      </c>
      <c r="V263">
        <f>IF(Datos!A263="","",(O263/SUM(O$2:O$301))*LN(O263/SUM(O$2:O$301)))</f>
        <v/>
      </c>
      <c r="X263">
        <f>IF(Datos!A263="","",IF(SUMSQ(C$2:C$301)=0,0,C263/SQRT(SUMSQ(C$2:C$301)))*$BE$2)</f>
        <v/>
      </c>
      <c r="Y263">
        <f>IF(Datos!A263="","",IF(SUMSQ(D$2:D$301)=0,0,D263/SQRT(SUMSQ(D$2:D$301)))*$BE$3)</f>
        <v/>
      </c>
      <c r="Z263">
        <f>IF(Datos!A263="","",IF(SUMSQ(E$2:E$301)=0,0,E263/SQRT(SUMSQ(E$2:E$301)))*$BE$4)</f>
        <v/>
      </c>
      <c r="AA263">
        <f>IF(Datos!A263="","",IF(SUMSQ(F$2:F$301)=0,0,F263/SQRT(SUMSQ(F$2:F$301)))*$BE$5)</f>
        <v/>
      </c>
      <c r="AB263">
        <f>IF(Datos!A263="","",IF(SUMSQ(G$2:G$301)=0,0,G263/SQRT(SUMSQ(G$2:G$301)))*$BE$6)</f>
        <v/>
      </c>
      <c r="AC263">
        <f>IF(Datos!A263="","",IF(SUMSQ(H$2:H$301)=0,0,H263/SQRT(SUMSQ(H$2:H$301)))*$BE$7)</f>
        <v/>
      </c>
      <c r="AE263">
        <f>IF(Datos!A263="","",SQRT(SUMXMY2(X263:AC263,$X$303:$AC$303)))</f>
        <v/>
      </c>
      <c r="AF263">
        <f>IF(Datos!A263="","",SQRT(SUMXMY2(X263:AC263,$X$304:$AC$304)))</f>
        <v/>
      </c>
      <c r="AG263" s="11">
        <f>IF(Datos!A263="","",IF(AE263+AF263&lt;0.000000001,0.5,AF263/(AE263+AF263)))</f>
        <v/>
      </c>
      <c r="AH263">
        <f>IF(Datos!A263="","",AG263*MAX(C263*D263,1))</f>
        <v/>
      </c>
      <c r="AI263">
        <f>IF(Datos!A263="","",SUMIF($AH$2:$AH$301,"&gt;="&amp;AH263,$AH$2:$AH$301)/SUM($AH$2:$AH$301))</f>
        <v/>
      </c>
      <c r="AJ263" s="12">
        <f>IF(Datos!A263="","",IF(AI263&lt;=Parametros!$B$13,"A",IF(AI263&lt;=Parametros!$B$14,"B","C")))</f>
        <v/>
      </c>
      <c r="AK263" s="13">
        <f>IF(Datos!A263="","",VLOOKUP(AJ263,Parametros!$A$8:$C$10,2,FALSE))</f>
        <v/>
      </c>
      <c r="AL263">
        <f>IF(Datos!A263="","",VLOOKUP(AJ263,Parametros!$A$8:$C$10,3,FALSE))</f>
        <v/>
      </c>
      <c r="AM263">
        <f>IF(Datos!A263="","",NORMSINV(AK263))</f>
        <v/>
      </c>
      <c r="AN263">
        <f>IF(Datos!A263="","",D263/Parametros!$B$4)</f>
        <v/>
      </c>
      <c r="AO263">
        <f>IF(Datos!A263="","",MAX(0,ROUNDUP(AM263*(AN263*Parametros!$B$3)*SQRT((AL263+E263)),0)))</f>
        <v/>
      </c>
      <c r="AP263">
        <f>IF(Datos!A263="","",MAX(1,ROUNDUP(AN263*(AL263+E263)+AM263*(AN263*Parametros!$B$3)*SQRT((AL263+E263)),0)))</f>
        <v/>
      </c>
      <c r="AQ263">
        <f>IF(Datos!A263="","",IF(Datos!J263="","",Datos!J263))</f>
        <v/>
      </c>
      <c r="AR263">
        <f>IF(OR(Datos!A263="",AQ263=""),"",MAX(0,AQ263-AP263))</f>
        <v/>
      </c>
      <c r="AS263" s="10">
        <f>IF(OR(Datos!A263="",AQ263=""),"",AR263*C263)</f>
        <v/>
      </c>
      <c r="AT263" s="12">
        <f>IF(OR(Datos!A263="",AQ263=""),"",IF(AQ263&lt;AO263,"SI",""))</f>
        <v/>
      </c>
      <c r="AU263">
        <f>IF(Datos!A263="","",IF(AT263="SI","Reponer ahora",IF(AND(AQ263&lt;&gt;"",AR263&gt;0),"Bajar "&amp;TEXT(AR263,"#,##0")&amp;" un.","En rango")))</f>
        <v/>
      </c>
    </row>
    <row r="264">
      <c r="A264">
        <f>IF(Datos!A264="","",Datos!A264)</f>
        <v/>
      </c>
      <c r="B264">
        <f>IF(Datos!A264="","",Datos!B264)</f>
        <v/>
      </c>
      <c r="C264">
        <f>IF(Datos!A264="","",IFERROR(MAX(0,N(Datos!D264)),0))</f>
        <v/>
      </c>
      <c r="D264">
        <f>IF(Datos!A264="","",IFERROR(MAX(0,N(Datos!E264)),0))</f>
        <v/>
      </c>
      <c r="E264">
        <f>IF(Datos!A264="","",IFERROR(MAX(0,N(Datos!F264)),0))</f>
        <v/>
      </c>
      <c r="F264">
        <f>IF(Datos!A264="","",IFERROR(MAX(0,N(Datos!G264)),0))</f>
        <v/>
      </c>
      <c r="G264">
        <f>IF(Datos!A264="","",IFERROR(MAX(0,N(Datos!H264)),0))</f>
        <v/>
      </c>
      <c r="H264">
        <f>IF(Datos!A264="","",IFERROR(MAX(0,N(Datos!I264)),0))</f>
        <v/>
      </c>
      <c r="J264">
        <f>IF(Datos!A264="","",IF(MAX(C$2:C$301)-MIN(C$2:C$301)&lt;0.000000001,0.5,(C264-MIN(C$2:C$301))/(MAX(C$2:C$301)-MIN(C$2:C$301)))+0.000000001)</f>
        <v/>
      </c>
      <c r="K264">
        <f>IF(Datos!A264="","",IF(MAX(D$2:D$301)-MIN(D$2:D$301)&lt;0.000000001,0.5,(D264-MIN(D$2:D$301))/(MAX(D$2:D$301)-MIN(D$2:D$301)))+0.000000001)</f>
        <v/>
      </c>
      <c r="L264">
        <f>IF(Datos!A264="","",IF(MAX(E$2:E$301)-MIN(E$2:E$301)&lt;0.000000001,0.5,(E264-MIN(E$2:E$301))/(MAX(E$2:E$301)-MIN(E$2:E$301)))+0.000000001)</f>
        <v/>
      </c>
      <c r="M264">
        <f>IF(Datos!A264="","",IF(MAX(F$2:F$301)-MIN(F$2:F$301)&lt;0.000000001,0.5,(F264-MIN(F$2:F$301))/(MAX(F$2:F$301)-MIN(F$2:F$301)))+0.000000001)</f>
        <v/>
      </c>
      <c r="N264">
        <f>IF(Datos!A264="","",IF(MAX(G$2:G$301)-MIN(G$2:G$301)&lt;0.000000001,0.5,(G264-MIN(G$2:G$301))/(MAX(G$2:G$301)-MIN(G$2:G$301)))+0.000000001)</f>
        <v/>
      </c>
      <c r="O264">
        <f>IF(Datos!A264="","",IF(MAX(H$2:H$301)-MIN(H$2:H$301)&lt;0.000000001,0.5,(H264-MIN(H$2:H$301))/(MAX(H$2:H$301)-MIN(H$2:H$301)))+0.000000001)</f>
        <v/>
      </c>
      <c r="Q264">
        <f>IF(Datos!A264="","",(J264/SUM(J$2:J$301))*LN(J264/SUM(J$2:J$301)))</f>
        <v/>
      </c>
      <c r="R264">
        <f>IF(Datos!A264="","",(K264/SUM(K$2:K$301))*LN(K264/SUM(K$2:K$301)))</f>
        <v/>
      </c>
      <c r="S264">
        <f>IF(Datos!A264="","",(L264/SUM(L$2:L$301))*LN(L264/SUM(L$2:L$301)))</f>
        <v/>
      </c>
      <c r="T264">
        <f>IF(Datos!A264="","",(M264/SUM(M$2:M$301))*LN(M264/SUM(M$2:M$301)))</f>
        <v/>
      </c>
      <c r="U264">
        <f>IF(Datos!A264="","",(N264/SUM(N$2:N$301))*LN(N264/SUM(N$2:N$301)))</f>
        <v/>
      </c>
      <c r="V264">
        <f>IF(Datos!A264="","",(O264/SUM(O$2:O$301))*LN(O264/SUM(O$2:O$301)))</f>
        <v/>
      </c>
      <c r="X264">
        <f>IF(Datos!A264="","",IF(SUMSQ(C$2:C$301)=0,0,C264/SQRT(SUMSQ(C$2:C$301)))*$BE$2)</f>
        <v/>
      </c>
      <c r="Y264">
        <f>IF(Datos!A264="","",IF(SUMSQ(D$2:D$301)=0,0,D264/SQRT(SUMSQ(D$2:D$301)))*$BE$3)</f>
        <v/>
      </c>
      <c r="Z264">
        <f>IF(Datos!A264="","",IF(SUMSQ(E$2:E$301)=0,0,E264/SQRT(SUMSQ(E$2:E$301)))*$BE$4)</f>
        <v/>
      </c>
      <c r="AA264">
        <f>IF(Datos!A264="","",IF(SUMSQ(F$2:F$301)=0,0,F264/SQRT(SUMSQ(F$2:F$301)))*$BE$5)</f>
        <v/>
      </c>
      <c r="AB264">
        <f>IF(Datos!A264="","",IF(SUMSQ(G$2:G$301)=0,0,G264/SQRT(SUMSQ(G$2:G$301)))*$BE$6)</f>
        <v/>
      </c>
      <c r="AC264">
        <f>IF(Datos!A264="","",IF(SUMSQ(H$2:H$301)=0,0,H264/SQRT(SUMSQ(H$2:H$301)))*$BE$7)</f>
        <v/>
      </c>
      <c r="AE264">
        <f>IF(Datos!A264="","",SQRT(SUMXMY2(X264:AC264,$X$303:$AC$303)))</f>
        <v/>
      </c>
      <c r="AF264">
        <f>IF(Datos!A264="","",SQRT(SUMXMY2(X264:AC264,$X$304:$AC$304)))</f>
        <v/>
      </c>
      <c r="AG264" s="11">
        <f>IF(Datos!A264="","",IF(AE264+AF264&lt;0.000000001,0.5,AF264/(AE264+AF264)))</f>
        <v/>
      </c>
      <c r="AH264">
        <f>IF(Datos!A264="","",AG264*MAX(C264*D264,1))</f>
        <v/>
      </c>
      <c r="AI264">
        <f>IF(Datos!A264="","",SUMIF($AH$2:$AH$301,"&gt;="&amp;AH264,$AH$2:$AH$301)/SUM($AH$2:$AH$301))</f>
        <v/>
      </c>
      <c r="AJ264" s="12">
        <f>IF(Datos!A264="","",IF(AI264&lt;=Parametros!$B$13,"A",IF(AI264&lt;=Parametros!$B$14,"B","C")))</f>
        <v/>
      </c>
      <c r="AK264" s="13">
        <f>IF(Datos!A264="","",VLOOKUP(AJ264,Parametros!$A$8:$C$10,2,FALSE))</f>
        <v/>
      </c>
      <c r="AL264">
        <f>IF(Datos!A264="","",VLOOKUP(AJ264,Parametros!$A$8:$C$10,3,FALSE))</f>
        <v/>
      </c>
      <c r="AM264">
        <f>IF(Datos!A264="","",NORMSINV(AK264))</f>
        <v/>
      </c>
      <c r="AN264">
        <f>IF(Datos!A264="","",D264/Parametros!$B$4)</f>
        <v/>
      </c>
      <c r="AO264">
        <f>IF(Datos!A264="","",MAX(0,ROUNDUP(AM264*(AN264*Parametros!$B$3)*SQRT((AL264+E264)),0)))</f>
        <v/>
      </c>
      <c r="AP264">
        <f>IF(Datos!A264="","",MAX(1,ROUNDUP(AN264*(AL264+E264)+AM264*(AN264*Parametros!$B$3)*SQRT((AL264+E264)),0)))</f>
        <v/>
      </c>
      <c r="AQ264">
        <f>IF(Datos!A264="","",IF(Datos!J264="","",Datos!J264))</f>
        <v/>
      </c>
      <c r="AR264">
        <f>IF(OR(Datos!A264="",AQ264=""),"",MAX(0,AQ264-AP264))</f>
        <v/>
      </c>
      <c r="AS264" s="10">
        <f>IF(OR(Datos!A264="",AQ264=""),"",AR264*C264)</f>
        <v/>
      </c>
      <c r="AT264" s="12">
        <f>IF(OR(Datos!A264="",AQ264=""),"",IF(AQ264&lt;AO264,"SI",""))</f>
        <v/>
      </c>
      <c r="AU264">
        <f>IF(Datos!A264="","",IF(AT264="SI","Reponer ahora",IF(AND(AQ264&lt;&gt;"",AR264&gt;0),"Bajar "&amp;TEXT(AR264,"#,##0")&amp;" un.","En rango")))</f>
        <v/>
      </c>
    </row>
    <row r="265">
      <c r="A265">
        <f>IF(Datos!A265="","",Datos!A265)</f>
        <v/>
      </c>
      <c r="B265">
        <f>IF(Datos!A265="","",Datos!B265)</f>
        <v/>
      </c>
      <c r="C265">
        <f>IF(Datos!A265="","",IFERROR(MAX(0,N(Datos!D265)),0))</f>
        <v/>
      </c>
      <c r="D265">
        <f>IF(Datos!A265="","",IFERROR(MAX(0,N(Datos!E265)),0))</f>
        <v/>
      </c>
      <c r="E265">
        <f>IF(Datos!A265="","",IFERROR(MAX(0,N(Datos!F265)),0))</f>
        <v/>
      </c>
      <c r="F265">
        <f>IF(Datos!A265="","",IFERROR(MAX(0,N(Datos!G265)),0))</f>
        <v/>
      </c>
      <c r="G265">
        <f>IF(Datos!A265="","",IFERROR(MAX(0,N(Datos!H265)),0))</f>
        <v/>
      </c>
      <c r="H265">
        <f>IF(Datos!A265="","",IFERROR(MAX(0,N(Datos!I265)),0))</f>
        <v/>
      </c>
      <c r="J265">
        <f>IF(Datos!A265="","",IF(MAX(C$2:C$301)-MIN(C$2:C$301)&lt;0.000000001,0.5,(C265-MIN(C$2:C$301))/(MAX(C$2:C$301)-MIN(C$2:C$301)))+0.000000001)</f>
        <v/>
      </c>
      <c r="K265">
        <f>IF(Datos!A265="","",IF(MAX(D$2:D$301)-MIN(D$2:D$301)&lt;0.000000001,0.5,(D265-MIN(D$2:D$301))/(MAX(D$2:D$301)-MIN(D$2:D$301)))+0.000000001)</f>
        <v/>
      </c>
      <c r="L265">
        <f>IF(Datos!A265="","",IF(MAX(E$2:E$301)-MIN(E$2:E$301)&lt;0.000000001,0.5,(E265-MIN(E$2:E$301))/(MAX(E$2:E$301)-MIN(E$2:E$301)))+0.000000001)</f>
        <v/>
      </c>
      <c r="M265">
        <f>IF(Datos!A265="","",IF(MAX(F$2:F$301)-MIN(F$2:F$301)&lt;0.000000001,0.5,(F265-MIN(F$2:F$301))/(MAX(F$2:F$301)-MIN(F$2:F$301)))+0.000000001)</f>
        <v/>
      </c>
      <c r="N265">
        <f>IF(Datos!A265="","",IF(MAX(G$2:G$301)-MIN(G$2:G$301)&lt;0.000000001,0.5,(G265-MIN(G$2:G$301))/(MAX(G$2:G$301)-MIN(G$2:G$301)))+0.000000001)</f>
        <v/>
      </c>
      <c r="O265">
        <f>IF(Datos!A265="","",IF(MAX(H$2:H$301)-MIN(H$2:H$301)&lt;0.000000001,0.5,(H265-MIN(H$2:H$301))/(MAX(H$2:H$301)-MIN(H$2:H$301)))+0.000000001)</f>
        <v/>
      </c>
      <c r="Q265">
        <f>IF(Datos!A265="","",(J265/SUM(J$2:J$301))*LN(J265/SUM(J$2:J$301)))</f>
        <v/>
      </c>
      <c r="R265">
        <f>IF(Datos!A265="","",(K265/SUM(K$2:K$301))*LN(K265/SUM(K$2:K$301)))</f>
        <v/>
      </c>
      <c r="S265">
        <f>IF(Datos!A265="","",(L265/SUM(L$2:L$301))*LN(L265/SUM(L$2:L$301)))</f>
        <v/>
      </c>
      <c r="T265">
        <f>IF(Datos!A265="","",(M265/SUM(M$2:M$301))*LN(M265/SUM(M$2:M$301)))</f>
        <v/>
      </c>
      <c r="U265">
        <f>IF(Datos!A265="","",(N265/SUM(N$2:N$301))*LN(N265/SUM(N$2:N$301)))</f>
        <v/>
      </c>
      <c r="V265">
        <f>IF(Datos!A265="","",(O265/SUM(O$2:O$301))*LN(O265/SUM(O$2:O$301)))</f>
        <v/>
      </c>
      <c r="X265">
        <f>IF(Datos!A265="","",IF(SUMSQ(C$2:C$301)=0,0,C265/SQRT(SUMSQ(C$2:C$301)))*$BE$2)</f>
        <v/>
      </c>
      <c r="Y265">
        <f>IF(Datos!A265="","",IF(SUMSQ(D$2:D$301)=0,0,D265/SQRT(SUMSQ(D$2:D$301)))*$BE$3)</f>
        <v/>
      </c>
      <c r="Z265">
        <f>IF(Datos!A265="","",IF(SUMSQ(E$2:E$301)=0,0,E265/SQRT(SUMSQ(E$2:E$301)))*$BE$4)</f>
        <v/>
      </c>
      <c r="AA265">
        <f>IF(Datos!A265="","",IF(SUMSQ(F$2:F$301)=0,0,F265/SQRT(SUMSQ(F$2:F$301)))*$BE$5)</f>
        <v/>
      </c>
      <c r="AB265">
        <f>IF(Datos!A265="","",IF(SUMSQ(G$2:G$301)=0,0,G265/SQRT(SUMSQ(G$2:G$301)))*$BE$6)</f>
        <v/>
      </c>
      <c r="AC265">
        <f>IF(Datos!A265="","",IF(SUMSQ(H$2:H$301)=0,0,H265/SQRT(SUMSQ(H$2:H$301)))*$BE$7)</f>
        <v/>
      </c>
      <c r="AE265">
        <f>IF(Datos!A265="","",SQRT(SUMXMY2(X265:AC265,$X$303:$AC$303)))</f>
        <v/>
      </c>
      <c r="AF265">
        <f>IF(Datos!A265="","",SQRT(SUMXMY2(X265:AC265,$X$304:$AC$304)))</f>
        <v/>
      </c>
      <c r="AG265" s="11">
        <f>IF(Datos!A265="","",IF(AE265+AF265&lt;0.000000001,0.5,AF265/(AE265+AF265)))</f>
        <v/>
      </c>
      <c r="AH265">
        <f>IF(Datos!A265="","",AG265*MAX(C265*D265,1))</f>
        <v/>
      </c>
      <c r="AI265">
        <f>IF(Datos!A265="","",SUMIF($AH$2:$AH$301,"&gt;="&amp;AH265,$AH$2:$AH$301)/SUM($AH$2:$AH$301))</f>
        <v/>
      </c>
      <c r="AJ265" s="12">
        <f>IF(Datos!A265="","",IF(AI265&lt;=Parametros!$B$13,"A",IF(AI265&lt;=Parametros!$B$14,"B","C")))</f>
        <v/>
      </c>
      <c r="AK265" s="13">
        <f>IF(Datos!A265="","",VLOOKUP(AJ265,Parametros!$A$8:$C$10,2,FALSE))</f>
        <v/>
      </c>
      <c r="AL265">
        <f>IF(Datos!A265="","",VLOOKUP(AJ265,Parametros!$A$8:$C$10,3,FALSE))</f>
        <v/>
      </c>
      <c r="AM265">
        <f>IF(Datos!A265="","",NORMSINV(AK265))</f>
        <v/>
      </c>
      <c r="AN265">
        <f>IF(Datos!A265="","",D265/Parametros!$B$4)</f>
        <v/>
      </c>
      <c r="AO265">
        <f>IF(Datos!A265="","",MAX(0,ROUNDUP(AM265*(AN265*Parametros!$B$3)*SQRT((AL265+E265)),0)))</f>
        <v/>
      </c>
      <c r="AP265">
        <f>IF(Datos!A265="","",MAX(1,ROUNDUP(AN265*(AL265+E265)+AM265*(AN265*Parametros!$B$3)*SQRT((AL265+E265)),0)))</f>
        <v/>
      </c>
      <c r="AQ265">
        <f>IF(Datos!A265="","",IF(Datos!J265="","",Datos!J265))</f>
        <v/>
      </c>
      <c r="AR265">
        <f>IF(OR(Datos!A265="",AQ265=""),"",MAX(0,AQ265-AP265))</f>
        <v/>
      </c>
      <c r="AS265" s="10">
        <f>IF(OR(Datos!A265="",AQ265=""),"",AR265*C265)</f>
        <v/>
      </c>
      <c r="AT265" s="12">
        <f>IF(OR(Datos!A265="",AQ265=""),"",IF(AQ265&lt;AO265,"SI",""))</f>
        <v/>
      </c>
      <c r="AU265">
        <f>IF(Datos!A265="","",IF(AT265="SI","Reponer ahora",IF(AND(AQ265&lt;&gt;"",AR265&gt;0),"Bajar "&amp;TEXT(AR265,"#,##0")&amp;" un.","En rango")))</f>
        <v/>
      </c>
    </row>
    <row r="266">
      <c r="A266">
        <f>IF(Datos!A266="","",Datos!A266)</f>
        <v/>
      </c>
      <c r="B266">
        <f>IF(Datos!A266="","",Datos!B266)</f>
        <v/>
      </c>
      <c r="C266">
        <f>IF(Datos!A266="","",IFERROR(MAX(0,N(Datos!D266)),0))</f>
        <v/>
      </c>
      <c r="D266">
        <f>IF(Datos!A266="","",IFERROR(MAX(0,N(Datos!E266)),0))</f>
        <v/>
      </c>
      <c r="E266">
        <f>IF(Datos!A266="","",IFERROR(MAX(0,N(Datos!F266)),0))</f>
        <v/>
      </c>
      <c r="F266">
        <f>IF(Datos!A266="","",IFERROR(MAX(0,N(Datos!G266)),0))</f>
        <v/>
      </c>
      <c r="G266">
        <f>IF(Datos!A266="","",IFERROR(MAX(0,N(Datos!H266)),0))</f>
        <v/>
      </c>
      <c r="H266">
        <f>IF(Datos!A266="","",IFERROR(MAX(0,N(Datos!I266)),0))</f>
        <v/>
      </c>
      <c r="J266">
        <f>IF(Datos!A266="","",IF(MAX(C$2:C$301)-MIN(C$2:C$301)&lt;0.000000001,0.5,(C266-MIN(C$2:C$301))/(MAX(C$2:C$301)-MIN(C$2:C$301)))+0.000000001)</f>
        <v/>
      </c>
      <c r="K266">
        <f>IF(Datos!A266="","",IF(MAX(D$2:D$301)-MIN(D$2:D$301)&lt;0.000000001,0.5,(D266-MIN(D$2:D$301))/(MAX(D$2:D$301)-MIN(D$2:D$301)))+0.000000001)</f>
        <v/>
      </c>
      <c r="L266">
        <f>IF(Datos!A266="","",IF(MAX(E$2:E$301)-MIN(E$2:E$301)&lt;0.000000001,0.5,(E266-MIN(E$2:E$301))/(MAX(E$2:E$301)-MIN(E$2:E$301)))+0.000000001)</f>
        <v/>
      </c>
      <c r="M266">
        <f>IF(Datos!A266="","",IF(MAX(F$2:F$301)-MIN(F$2:F$301)&lt;0.000000001,0.5,(F266-MIN(F$2:F$301))/(MAX(F$2:F$301)-MIN(F$2:F$301)))+0.000000001)</f>
        <v/>
      </c>
      <c r="N266">
        <f>IF(Datos!A266="","",IF(MAX(G$2:G$301)-MIN(G$2:G$301)&lt;0.000000001,0.5,(G266-MIN(G$2:G$301))/(MAX(G$2:G$301)-MIN(G$2:G$301)))+0.000000001)</f>
        <v/>
      </c>
      <c r="O266">
        <f>IF(Datos!A266="","",IF(MAX(H$2:H$301)-MIN(H$2:H$301)&lt;0.000000001,0.5,(H266-MIN(H$2:H$301))/(MAX(H$2:H$301)-MIN(H$2:H$301)))+0.000000001)</f>
        <v/>
      </c>
      <c r="Q266">
        <f>IF(Datos!A266="","",(J266/SUM(J$2:J$301))*LN(J266/SUM(J$2:J$301)))</f>
        <v/>
      </c>
      <c r="R266">
        <f>IF(Datos!A266="","",(K266/SUM(K$2:K$301))*LN(K266/SUM(K$2:K$301)))</f>
        <v/>
      </c>
      <c r="S266">
        <f>IF(Datos!A266="","",(L266/SUM(L$2:L$301))*LN(L266/SUM(L$2:L$301)))</f>
        <v/>
      </c>
      <c r="T266">
        <f>IF(Datos!A266="","",(M266/SUM(M$2:M$301))*LN(M266/SUM(M$2:M$301)))</f>
        <v/>
      </c>
      <c r="U266">
        <f>IF(Datos!A266="","",(N266/SUM(N$2:N$301))*LN(N266/SUM(N$2:N$301)))</f>
        <v/>
      </c>
      <c r="V266">
        <f>IF(Datos!A266="","",(O266/SUM(O$2:O$301))*LN(O266/SUM(O$2:O$301)))</f>
        <v/>
      </c>
      <c r="X266">
        <f>IF(Datos!A266="","",IF(SUMSQ(C$2:C$301)=0,0,C266/SQRT(SUMSQ(C$2:C$301)))*$BE$2)</f>
        <v/>
      </c>
      <c r="Y266">
        <f>IF(Datos!A266="","",IF(SUMSQ(D$2:D$301)=0,0,D266/SQRT(SUMSQ(D$2:D$301)))*$BE$3)</f>
        <v/>
      </c>
      <c r="Z266">
        <f>IF(Datos!A266="","",IF(SUMSQ(E$2:E$301)=0,0,E266/SQRT(SUMSQ(E$2:E$301)))*$BE$4)</f>
        <v/>
      </c>
      <c r="AA266">
        <f>IF(Datos!A266="","",IF(SUMSQ(F$2:F$301)=0,0,F266/SQRT(SUMSQ(F$2:F$301)))*$BE$5)</f>
        <v/>
      </c>
      <c r="AB266">
        <f>IF(Datos!A266="","",IF(SUMSQ(G$2:G$301)=0,0,G266/SQRT(SUMSQ(G$2:G$301)))*$BE$6)</f>
        <v/>
      </c>
      <c r="AC266">
        <f>IF(Datos!A266="","",IF(SUMSQ(H$2:H$301)=0,0,H266/SQRT(SUMSQ(H$2:H$301)))*$BE$7)</f>
        <v/>
      </c>
      <c r="AE266">
        <f>IF(Datos!A266="","",SQRT(SUMXMY2(X266:AC266,$X$303:$AC$303)))</f>
        <v/>
      </c>
      <c r="AF266">
        <f>IF(Datos!A266="","",SQRT(SUMXMY2(X266:AC266,$X$304:$AC$304)))</f>
        <v/>
      </c>
      <c r="AG266" s="11">
        <f>IF(Datos!A266="","",IF(AE266+AF266&lt;0.000000001,0.5,AF266/(AE266+AF266)))</f>
        <v/>
      </c>
      <c r="AH266">
        <f>IF(Datos!A266="","",AG266*MAX(C266*D266,1))</f>
        <v/>
      </c>
      <c r="AI266">
        <f>IF(Datos!A266="","",SUMIF($AH$2:$AH$301,"&gt;="&amp;AH266,$AH$2:$AH$301)/SUM($AH$2:$AH$301))</f>
        <v/>
      </c>
      <c r="AJ266" s="12">
        <f>IF(Datos!A266="","",IF(AI266&lt;=Parametros!$B$13,"A",IF(AI266&lt;=Parametros!$B$14,"B","C")))</f>
        <v/>
      </c>
      <c r="AK266" s="13">
        <f>IF(Datos!A266="","",VLOOKUP(AJ266,Parametros!$A$8:$C$10,2,FALSE))</f>
        <v/>
      </c>
      <c r="AL266">
        <f>IF(Datos!A266="","",VLOOKUP(AJ266,Parametros!$A$8:$C$10,3,FALSE))</f>
        <v/>
      </c>
      <c r="AM266">
        <f>IF(Datos!A266="","",NORMSINV(AK266))</f>
        <v/>
      </c>
      <c r="AN266">
        <f>IF(Datos!A266="","",D266/Parametros!$B$4)</f>
        <v/>
      </c>
      <c r="AO266">
        <f>IF(Datos!A266="","",MAX(0,ROUNDUP(AM266*(AN266*Parametros!$B$3)*SQRT((AL266+E266)),0)))</f>
        <v/>
      </c>
      <c r="AP266">
        <f>IF(Datos!A266="","",MAX(1,ROUNDUP(AN266*(AL266+E266)+AM266*(AN266*Parametros!$B$3)*SQRT((AL266+E266)),0)))</f>
        <v/>
      </c>
      <c r="AQ266">
        <f>IF(Datos!A266="","",IF(Datos!J266="","",Datos!J266))</f>
        <v/>
      </c>
      <c r="AR266">
        <f>IF(OR(Datos!A266="",AQ266=""),"",MAX(0,AQ266-AP266))</f>
        <v/>
      </c>
      <c r="AS266" s="10">
        <f>IF(OR(Datos!A266="",AQ266=""),"",AR266*C266)</f>
        <v/>
      </c>
      <c r="AT266" s="12">
        <f>IF(OR(Datos!A266="",AQ266=""),"",IF(AQ266&lt;AO266,"SI",""))</f>
        <v/>
      </c>
      <c r="AU266">
        <f>IF(Datos!A266="","",IF(AT266="SI","Reponer ahora",IF(AND(AQ266&lt;&gt;"",AR266&gt;0),"Bajar "&amp;TEXT(AR266,"#,##0")&amp;" un.","En rango")))</f>
        <v/>
      </c>
    </row>
    <row r="267">
      <c r="A267">
        <f>IF(Datos!A267="","",Datos!A267)</f>
        <v/>
      </c>
      <c r="B267">
        <f>IF(Datos!A267="","",Datos!B267)</f>
        <v/>
      </c>
      <c r="C267">
        <f>IF(Datos!A267="","",IFERROR(MAX(0,N(Datos!D267)),0))</f>
        <v/>
      </c>
      <c r="D267">
        <f>IF(Datos!A267="","",IFERROR(MAX(0,N(Datos!E267)),0))</f>
        <v/>
      </c>
      <c r="E267">
        <f>IF(Datos!A267="","",IFERROR(MAX(0,N(Datos!F267)),0))</f>
        <v/>
      </c>
      <c r="F267">
        <f>IF(Datos!A267="","",IFERROR(MAX(0,N(Datos!G267)),0))</f>
        <v/>
      </c>
      <c r="G267">
        <f>IF(Datos!A267="","",IFERROR(MAX(0,N(Datos!H267)),0))</f>
        <v/>
      </c>
      <c r="H267">
        <f>IF(Datos!A267="","",IFERROR(MAX(0,N(Datos!I267)),0))</f>
        <v/>
      </c>
      <c r="J267">
        <f>IF(Datos!A267="","",IF(MAX(C$2:C$301)-MIN(C$2:C$301)&lt;0.000000001,0.5,(C267-MIN(C$2:C$301))/(MAX(C$2:C$301)-MIN(C$2:C$301)))+0.000000001)</f>
        <v/>
      </c>
      <c r="K267">
        <f>IF(Datos!A267="","",IF(MAX(D$2:D$301)-MIN(D$2:D$301)&lt;0.000000001,0.5,(D267-MIN(D$2:D$301))/(MAX(D$2:D$301)-MIN(D$2:D$301)))+0.000000001)</f>
        <v/>
      </c>
      <c r="L267">
        <f>IF(Datos!A267="","",IF(MAX(E$2:E$301)-MIN(E$2:E$301)&lt;0.000000001,0.5,(E267-MIN(E$2:E$301))/(MAX(E$2:E$301)-MIN(E$2:E$301)))+0.000000001)</f>
        <v/>
      </c>
      <c r="M267">
        <f>IF(Datos!A267="","",IF(MAX(F$2:F$301)-MIN(F$2:F$301)&lt;0.000000001,0.5,(F267-MIN(F$2:F$301))/(MAX(F$2:F$301)-MIN(F$2:F$301)))+0.000000001)</f>
        <v/>
      </c>
      <c r="N267">
        <f>IF(Datos!A267="","",IF(MAX(G$2:G$301)-MIN(G$2:G$301)&lt;0.000000001,0.5,(G267-MIN(G$2:G$301))/(MAX(G$2:G$301)-MIN(G$2:G$301)))+0.000000001)</f>
        <v/>
      </c>
      <c r="O267">
        <f>IF(Datos!A267="","",IF(MAX(H$2:H$301)-MIN(H$2:H$301)&lt;0.000000001,0.5,(H267-MIN(H$2:H$301))/(MAX(H$2:H$301)-MIN(H$2:H$301)))+0.000000001)</f>
        <v/>
      </c>
      <c r="Q267">
        <f>IF(Datos!A267="","",(J267/SUM(J$2:J$301))*LN(J267/SUM(J$2:J$301)))</f>
        <v/>
      </c>
      <c r="R267">
        <f>IF(Datos!A267="","",(K267/SUM(K$2:K$301))*LN(K267/SUM(K$2:K$301)))</f>
        <v/>
      </c>
      <c r="S267">
        <f>IF(Datos!A267="","",(L267/SUM(L$2:L$301))*LN(L267/SUM(L$2:L$301)))</f>
        <v/>
      </c>
      <c r="T267">
        <f>IF(Datos!A267="","",(M267/SUM(M$2:M$301))*LN(M267/SUM(M$2:M$301)))</f>
        <v/>
      </c>
      <c r="U267">
        <f>IF(Datos!A267="","",(N267/SUM(N$2:N$301))*LN(N267/SUM(N$2:N$301)))</f>
        <v/>
      </c>
      <c r="V267">
        <f>IF(Datos!A267="","",(O267/SUM(O$2:O$301))*LN(O267/SUM(O$2:O$301)))</f>
        <v/>
      </c>
      <c r="X267">
        <f>IF(Datos!A267="","",IF(SUMSQ(C$2:C$301)=0,0,C267/SQRT(SUMSQ(C$2:C$301)))*$BE$2)</f>
        <v/>
      </c>
      <c r="Y267">
        <f>IF(Datos!A267="","",IF(SUMSQ(D$2:D$301)=0,0,D267/SQRT(SUMSQ(D$2:D$301)))*$BE$3)</f>
        <v/>
      </c>
      <c r="Z267">
        <f>IF(Datos!A267="","",IF(SUMSQ(E$2:E$301)=0,0,E267/SQRT(SUMSQ(E$2:E$301)))*$BE$4)</f>
        <v/>
      </c>
      <c r="AA267">
        <f>IF(Datos!A267="","",IF(SUMSQ(F$2:F$301)=0,0,F267/SQRT(SUMSQ(F$2:F$301)))*$BE$5)</f>
        <v/>
      </c>
      <c r="AB267">
        <f>IF(Datos!A267="","",IF(SUMSQ(G$2:G$301)=0,0,G267/SQRT(SUMSQ(G$2:G$301)))*$BE$6)</f>
        <v/>
      </c>
      <c r="AC267">
        <f>IF(Datos!A267="","",IF(SUMSQ(H$2:H$301)=0,0,H267/SQRT(SUMSQ(H$2:H$301)))*$BE$7)</f>
        <v/>
      </c>
      <c r="AE267">
        <f>IF(Datos!A267="","",SQRT(SUMXMY2(X267:AC267,$X$303:$AC$303)))</f>
        <v/>
      </c>
      <c r="AF267">
        <f>IF(Datos!A267="","",SQRT(SUMXMY2(X267:AC267,$X$304:$AC$304)))</f>
        <v/>
      </c>
      <c r="AG267" s="11">
        <f>IF(Datos!A267="","",IF(AE267+AF267&lt;0.000000001,0.5,AF267/(AE267+AF267)))</f>
        <v/>
      </c>
      <c r="AH267">
        <f>IF(Datos!A267="","",AG267*MAX(C267*D267,1))</f>
        <v/>
      </c>
      <c r="AI267">
        <f>IF(Datos!A267="","",SUMIF($AH$2:$AH$301,"&gt;="&amp;AH267,$AH$2:$AH$301)/SUM($AH$2:$AH$301))</f>
        <v/>
      </c>
      <c r="AJ267" s="12">
        <f>IF(Datos!A267="","",IF(AI267&lt;=Parametros!$B$13,"A",IF(AI267&lt;=Parametros!$B$14,"B","C")))</f>
        <v/>
      </c>
      <c r="AK267" s="13">
        <f>IF(Datos!A267="","",VLOOKUP(AJ267,Parametros!$A$8:$C$10,2,FALSE))</f>
        <v/>
      </c>
      <c r="AL267">
        <f>IF(Datos!A267="","",VLOOKUP(AJ267,Parametros!$A$8:$C$10,3,FALSE))</f>
        <v/>
      </c>
      <c r="AM267">
        <f>IF(Datos!A267="","",NORMSINV(AK267))</f>
        <v/>
      </c>
      <c r="AN267">
        <f>IF(Datos!A267="","",D267/Parametros!$B$4)</f>
        <v/>
      </c>
      <c r="AO267">
        <f>IF(Datos!A267="","",MAX(0,ROUNDUP(AM267*(AN267*Parametros!$B$3)*SQRT((AL267+E267)),0)))</f>
        <v/>
      </c>
      <c r="AP267">
        <f>IF(Datos!A267="","",MAX(1,ROUNDUP(AN267*(AL267+E267)+AM267*(AN267*Parametros!$B$3)*SQRT((AL267+E267)),0)))</f>
        <v/>
      </c>
      <c r="AQ267">
        <f>IF(Datos!A267="","",IF(Datos!J267="","",Datos!J267))</f>
        <v/>
      </c>
      <c r="AR267">
        <f>IF(OR(Datos!A267="",AQ267=""),"",MAX(0,AQ267-AP267))</f>
        <v/>
      </c>
      <c r="AS267" s="10">
        <f>IF(OR(Datos!A267="",AQ267=""),"",AR267*C267)</f>
        <v/>
      </c>
      <c r="AT267" s="12">
        <f>IF(OR(Datos!A267="",AQ267=""),"",IF(AQ267&lt;AO267,"SI",""))</f>
        <v/>
      </c>
      <c r="AU267">
        <f>IF(Datos!A267="","",IF(AT267="SI","Reponer ahora",IF(AND(AQ267&lt;&gt;"",AR267&gt;0),"Bajar "&amp;TEXT(AR267,"#,##0")&amp;" un.","En rango")))</f>
        <v/>
      </c>
    </row>
    <row r="268">
      <c r="A268">
        <f>IF(Datos!A268="","",Datos!A268)</f>
        <v/>
      </c>
      <c r="B268">
        <f>IF(Datos!A268="","",Datos!B268)</f>
        <v/>
      </c>
      <c r="C268">
        <f>IF(Datos!A268="","",IFERROR(MAX(0,N(Datos!D268)),0))</f>
        <v/>
      </c>
      <c r="D268">
        <f>IF(Datos!A268="","",IFERROR(MAX(0,N(Datos!E268)),0))</f>
        <v/>
      </c>
      <c r="E268">
        <f>IF(Datos!A268="","",IFERROR(MAX(0,N(Datos!F268)),0))</f>
        <v/>
      </c>
      <c r="F268">
        <f>IF(Datos!A268="","",IFERROR(MAX(0,N(Datos!G268)),0))</f>
        <v/>
      </c>
      <c r="G268">
        <f>IF(Datos!A268="","",IFERROR(MAX(0,N(Datos!H268)),0))</f>
        <v/>
      </c>
      <c r="H268">
        <f>IF(Datos!A268="","",IFERROR(MAX(0,N(Datos!I268)),0))</f>
        <v/>
      </c>
      <c r="J268">
        <f>IF(Datos!A268="","",IF(MAX(C$2:C$301)-MIN(C$2:C$301)&lt;0.000000001,0.5,(C268-MIN(C$2:C$301))/(MAX(C$2:C$301)-MIN(C$2:C$301)))+0.000000001)</f>
        <v/>
      </c>
      <c r="K268">
        <f>IF(Datos!A268="","",IF(MAX(D$2:D$301)-MIN(D$2:D$301)&lt;0.000000001,0.5,(D268-MIN(D$2:D$301))/(MAX(D$2:D$301)-MIN(D$2:D$301)))+0.000000001)</f>
        <v/>
      </c>
      <c r="L268">
        <f>IF(Datos!A268="","",IF(MAX(E$2:E$301)-MIN(E$2:E$301)&lt;0.000000001,0.5,(E268-MIN(E$2:E$301))/(MAX(E$2:E$301)-MIN(E$2:E$301)))+0.000000001)</f>
        <v/>
      </c>
      <c r="M268">
        <f>IF(Datos!A268="","",IF(MAX(F$2:F$301)-MIN(F$2:F$301)&lt;0.000000001,0.5,(F268-MIN(F$2:F$301))/(MAX(F$2:F$301)-MIN(F$2:F$301)))+0.000000001)</f>
        <v/>
      </c>
      <c r="N268">
        <f>IF(Datos!A268="","",IF(MAX(G$2:G$301)-MIN(G$2:G$301)&lt;0.000000001,0.5,(G268-MIN(G$2:G$301))/(MAX(G$2:G$301)-MIN(G$2:G$301)))+0.000000001)</f>
        <v/>
      </c>
      <c r="O268">
        <f>IF(Datos!A268="","",IF(MAX(H$2:H$301)-MIN(H$2:H$301)&lt;0.000000001,0.5,(H268-MIN(H$2:H$301))/(MAX(H$2:H$301)-MIN(H$2:H$301)))+0.000000001)</f>
        <v/>
      </c>
      <c r="Q268">
        <f>IF(Datos!A268="","",(J268/SUM(J$2:J$301))*LN(J268/SUM(J$2:J$301)))</f>
        <v/>
      </c>
      <c r="R268">
        <f>IF(Datos!A268="","",(K268/SUM(K$2:K$301))*LN(K268/SUM(K$2:K$301)))</f>
        <v/>
      </c>
      <c r="S268">
        <f>IF(Datos!A268="","",(L268/SUM(L$2:L$301))*LN(L268/SUM(L$2:L$301)))</f>
        <v/>
      </c>
      <c r="T268">
        <f>IF(Datos!A268="","",(M268/SUM(M$2:M$301))*LN(M268/SUM(M$2:M$301)))</f>
        <v/>
      </c>
      <c r="U268">
        <f>IF(Datos!A268="","",(N268/SUM(N$2:N$301))*LN(N268/SUM(N$2:N$301)))</f>
        <v/>
      </c>
      <c r="V268">
        <f>IF(Datos!A268="","",(O268/SUM(O$2:O$301))*LN(O268/SUM(O$2:O$301)))</f>
        <v/>
      </c>
      <c r="X268">
        <f>IF(Datos!A268="","",IF(SUMSQ(C$2:C$301)=0,0,C268/SQRT(SUMSQ(C$2:C$301)))*$BE$2)</f>
        <v/>
      </c>
      <c r="Y268">
        <f>IF(Datos!A268="","",IF(SUMSQ(D$2:D$301)=0,0,D268/SQRT(SUMSQ(D$2:D$301)))*$BE$3)</f>
        <v/>
      </c>
      <c r="Z268">
        <f>IF(Datos!A268="","",IF(SUMSQ(E$2:E$301)=0,0,E268/SQRT(SUMSQ(E$2:E$301)))*$BE$4)</f>
        <v/>
      </c>
      <c r="AA268">
        <f>IF(Datos!A268="","",IF(SUMSQ(F$2:F$301)=0,0,F268/SQRT(SUMSQ(F$2:F$301)))*$BE$5)</f>
        <v/>
      </c>
      <c r="AB268">
        <f>IF(Datos!A268="","",IF(SUMSQ(G$2:G$301)=0,0,G268/SQRT(SUMSQ(G$2:G$301)))*$BE$6)</f>
        <v/>
      </c>
      <c r="AC268">
        <f>IF(Datos!A268="","",IF(SUMSQ(H$2:H$301)=0,0,H268/SQRT(SUMSQ(H$2:H$301)))*$BE$7)</f>
        <v/>
      </c>
      <c r="AE268">
        <f>IF(Datos!A268="","",SQRT(SUMXMY2(X268:AC268,$X$303:$AC$303)))</f>
        <v/>
      </c>
      <c r="AF268">
        <f>IF(Datos!A268="","",SQRT(SUMXMY2(X268:AC268,$X$304:$AC$304)))</f>
        <v/>
      </c>
      <c r="AG268" s="11">
        <f>IF(Datos!A268="","",IF(AE268+AF268&lt;0.000000001,0.5,AF268/(AE268+AF268)))</f>
        <v/>
      </c>
      <c r="AH268">
        <f>IF(Datos!A268="","",AG268*MAX(C268*D268,1))</f>
        <v/>
      </c>
      <c r="AI268">
        <f>IF(Datos!A268="","",SUMIF($AH$2:$AH$301,"&gt;="&amp;AH268,$AH$2:$AH$301)/SUM($AH$2:$AH$301))</f>
        <v/>
      </c>
      <c r="AJ268" s="12">
        <f>IF(Datos!A268="","",IF(AI268&lt;=Parametros!$B$13,"A",IF(AI268&lt;=Parametros!$B$14,"B","C")))</f>
        <v/>
      </c>
      <c r="AK268" s="13">
        <f>IF(Datos!A268="","",VLOOKUP(AJ268,Parametros!$A$8:$C$10,2,FALSE))</f>
        <v/>
      </c>
      <c r="AL268">
        <f>IF(Datos!A268="","",VLOOKUP(AJ268,Parametros!$A$8:$C$10,3,FALSE))</f>
        <v/>
      </c>
      <c r="AM268">
        <f>IF(Datos!A268="","",NORMSINV(AK268))</f>
        <v/>
      </c>
      <c r="AN268">
        <f>IF(Datos!A268="","",D268/Parametros!$B$4)</f>
        <v/>
      </c>
      <c r="AO268">
        <f>IF(Datos!A268="","",MAX(0,ROUNDUP(AM268*(AN268*Parametros!$B$3)*SQRT((AL268+E268)),0)))</f>
        <v/>
      </c>
      <c r="AP268">
        <f>IF(Datos!A268="","",MAX(1,ROUNDUP(AN268*(AL268+E268)+AM268*(AN268*Parametros!$B$3)*SQRT((AL268+E268)),0)))</f>
        <v/>
      </c>
      <c r="AQ268">
        <f>IF(Datos!A268="","",IF(Datos!J268="","",Datos!J268))</f>
        <v/>
      </c>
      <c r="AR268">
        <f>IF(OR(Datos!A268="",AQ268=""),"",MAX(0,AQ268-AP268))</f>
        <v/>
      </c>
      <c r="AS268" s="10">
        <f>IF(OR(Datos!A268="",AQ268=""),"",AR268*C268)</f>
        <v/>
      </c>
      <c r="AT268" s="12">
        <f>IF(OR(Datos!A268="",AQ268=""),"",IF(AQ268&lt;AO268,"SI",""))</f>
        <v/>
      </c>
      <c r="AU268">
        <f>IF(Datos!A268="","",IF(AT268="SI","Reponer ahora",IF(AND(AQ268&lt;&gt;"",AR268&gt;0),"Bajar "&amp;TEXT(AR268,"#,##0")&amp;" un.","En rango")))</f>
        <v/>
      </c>
    </row>
    <row r="269">
      <c r="A269">
        <f>IF(Datos!A269="","",Datos!A269)</f>
        <v/>
      </c>
      <c r="B269">
        <f>IF(Datos!A269="","",Datos!B269)</f>
        <v/>
      </c>
      <c r="C269">
        <f>IF(Datos!A269="","",IFERROR(MAX(0,N(Datos!D269)),0))</f>
        <v/>
      </c>
      <c r="D269">
        <f>IF(Datos!A269="","",IFERROR(MAX(0,N(Datos!E269)),0))</f>
        <v/>
      </c>
      <c r="E269">
        <f>IF(Datos!A269="","",IFERROR(MAX(0,N(Datos!F269)),0))</f>
        <v/>
      </c>
      <c r="F269">
        <f>IF(Datos!A269="","",IFERROR(MAX(0,N(Datos!G269)),0))</f>
        <v/>
      </c>
      <c r="G269">
        <f>IF(Datos!A269="","",IFERROR(MAX(0,N(Datos!H269)),0))</f>
        <v/>
      </c>
      <c r="H269">
        <f>IF(Datos!A269="","",IFERROR(MAX(0,N(Datos!I269)),0))</f>
        <v/>
      </c>
      <c r="J269">
        <f>IF(Datos!A269="","",IF(MAX(C$2:C$301)-MIN(C$2:C$301)&lt;0.000000001,0.5,(C269-MIN(C$2:C$301))/(MAX(C$2:C$301)-MIN(C$2:C$301)))+0.000000001)</f>
        <v/>
      </c>
      <c r="K269">
        <f>IF(Datos!A269="","",IF(MAX(D$2:D$301)-MIN(D$2:D$301)&lt;0.000000001,0.5,(D269-MIN(D$2:D$301))/(MAX(D$2:D$301)-MIN(D$2:D$301)))+0.000000001)</f>
        <v/>
      </c>
      <c r="L269">
        <f>IF(Datos!A269="","",IF(MAX(E$2:E$301)-MIN(E$2:E$301)&lt;0.000000001,0.5,(E269-MIN(E$2:E$301))/(MAX(E$2:E$301)-MIN(E$2:E$301)))+0.000000001)</f>
        <v/>
      </c>
      <c r="M269">
        <f>IF(Datos!A269="","",IF(MAX(F$2:F$301)-MIN(F$2:F$301)&lt;0.000000001,0.5,(F269-MIN(F$2:F$301))/(MAX(F$2:F$301)-MIN(F$2:F$301)))+0.000000001)</f>
        <v/>
      </c>
      <c r="N269">
        <f>IF(Datos!A269="","",IF(MAX(G$2:G$301)-MIN(G$2:G$301)&lt;0.000000001,0.5,(G269-MIN(G$2:G$301))/(MAX(G$2:G$301)-MIN(G$2:G$301)))+0.000000001)</f>
        <v/>
      </c>
      <c r="O269">
        <f>IF(Datos!A269="","",IF(MAX(H$2:H$301)-MIN(H$2:H$301)&lt;0.000000001,0.5,(H269-MIN(H$2:H$301))/(MAX(H$2:H$301)-MIN(H$2:H$301)))+0.000000001)</f>
        <v/>
      </c>
      <c r="Q269">
        <f>IF(Datos!A269="","",(J269/SUM(J$2:J$301))*LN(J269/SUM(J$2:J$301)))</f>
        <v/>
      </c>
      <c r="R269">
        <f>IF(Datos!A269="","",(K269/SUM(K$2:K$301))*LN(K269/SUM(K$2:K$301)))</f>
        <v/>
      </c>
      <c r="S269">
        <f>IF(Datos!A269="","",(L269/SUM(L$2:L$301))*LN(L269/SUM(L$2:L$301)))</f>
        <v/>
      </c>
      <c r="T269">
        <f>IF(Datos!A269="","",(M269/SUM(M$2:M$301))*LN(M269/SUM(M$2:M$301)))</f>
        <v/>
      </c>
      <c r="U269">
        <f>IF(Datos!A269="","",(N269/SUM(N$2:N$301))*LN(N269/SUM(N$2:N$301)))</f>
        <v/>
      </c>
      <c r="V269">
        <f>IF(Datos!A269="","",(O269/SUM(O$2:O$301))*LN(O269/SUM(O$2:O$301)))</f>
        <v/>
      </c>
      <c r="X269">
        <f>IF(Datos!A269="","",IF(SUMSQ(C$2:C$301)=0,0,C269/SQRT(SUMSQ(C$2:C$301)))*$BE$2)</f>
        <v/>
      </c>
      <c r="Y269">
        <f>IF(Datos!A269="","",IF(SUMSQ(D$2:D$301)=0,0,D269/SQRT(SUMSQ(D$2:D$301)))*$BE$3)</f>
        <v/>
      </c>
      <c r="Z269">
        <f>IF(Datos!A269="","",IF(SUMSQ(E$2:E$301)=0,0,E269/SQRT(SUMSQ(E$2:E$301)))*$BE$4)</f>
        <v/>
      </c>
      <c r="AA269">
        <f>IF(Datos!A269="","",IF(SUMSQ(F$2:F$301)=0,0,F269/SQRT(SUMSQ(F$2:F$301)))*$BE$5)</f>
        <v/>
      </c>
      <c r="AB269">
        <f>IF(Datos!A269="","",IF(SUMSQ(G$2:G$301)=0,0,G269/SQRT(SUMSQ(G$2:G$301)))*$BE$6)</f>
        <v/>
      </c>
      <c r="AC269">
        <f>IF(Datos!A269="","",IF(SUMSQ(H$2:H$301)=0,0,H269/SQRT(SUMSQ(H$2:H$301)))*$BE$7)</f>
        <v/>
      </c>
      <c r="AE269">
        <f>IF(Datos!A269="","",SQRT(SUMXMY2(X269:AC269,$X$303:$AC$303)))</f>
        <v/>
      </c>
      <c r="AF269">
        <f>IF(Datos!A269="","",SQRT(SUMXMY2(X269:AC269,$X$304:$AC$304)))</f>
        <v/>
      </c>
      <c r="AG269" s="11">
        <f>IF(Datos!A269="","",IF(AE269+AF269&lt;0.000000001,0.5,AF269/(AE269+AF269)))</f>
        <v/>
      </c>
      <c r="AH269">
        <f>IF(Datos!A269="","",AG269*MAX(C269*D269,1))</f>
        <v/>
      </c>
      <c r="AI269">
        <f>IF(Datos!A269="","",SUMIF($AH$2:$AH$301,"&gt;="&amp;AH269,$AH$2:$AH$301)/SUM($AH$2:$AH$301))</f>
        <v/>
      </c>
      <c r="AJ269" s="12">
        <f>IF(Datos!A269="","",IF(AI269&lt;=Parametros!$B$13,"A",IF(AI269&lt;=Parametros!$B$14,"B","C")))</f>
        <v/>
      </c>
      <c r="AK269" s="13">
        <f>IF(Datos!A269="","",VLOOKUP(AJ269,Parametros!$A$8:$C$10,2,FALSE))</f>
        <v/>
      </c>
      <c r="AL269">
        <f>IF(Datos!A269="","",VLOOKUP(AJ269,Parametros!$A$8:$C$10,3,FALSE))</f>
        <v/>
      </c>
      <c r="AM269">
        <f>IF(Datos!A269="","",NORMSINV(AK269))</f>
        <v/>
      </c>
      <c r="AN269">
        <f>IF(Datos!A269="","",D269/Parametros!$B$4)</f>
        <v/>
      </c>
      <c r="AO269">
        <f>IF(Datos!A269="","",MAX(0,ROUNDUP(AM269*(AN269*Parametros!$B$3)*SQRT((AL269+E269)),0)))</f>
        <v/>
      </c>
      <c r="AP269">
        <f>IF(Datos!A269="","",MAX(1,ROUNDUP(AN269*(AL269+E269)+AM269*(AN269*Parametros!$B$3)*SQRT((AL269+E269)),0)))</f>
        <v/>
      </c>
      <c r="AQ269">
        <f>IF(Datos!A269="","",IF(Datos!J269="","",Datos!J269))</f>
        <v/>
      </c>
      <c r="AR269">
        <f>IF(OR(Datos!A269="",AQ269=""),"",MAX(0,AQ269-AP269))</f>
        <v/>
      </c>
      <c r="AS269" s="10">
        <f>IF(OR(Datos!A269="",AQ269=""),"",AR269*C269)</f>
        <v/>
      </c>
      <c r="AT269" s="12">
        <f>IF(OR(Datos!A269="",AQ269=""),"",IF(AQ269&lt;AO269,"SI",""))</f>
        <v/>
      </c>
      <c r="AU269">
        <f>IF(Datos!A269="","",IF(AT269="SI","Reponer ahora",IF(AND(AQ269&lt;&gt;"",AR269&gt;0),"Bajar "&amp;TEXT(AR269,"#,##0")&amp;" un.","En rango")))</f>
        <v/>
      </c>
    </row>
    <row r="270">
      <c r="A270">
        <f>IF(Datos!A270="","",Datos!A270)</f>
        <v/>
      </c>
      <c r="B270">
        <f>IF(Datos!A270="","",Datos!B270)</f>
        <v/>
      </c>
      <c r="C270">
        <f>IF(Datos!A270="","",IFERROR(MAX(0,N(Datos!D270)),0))</f>
        <v/>
      </c>
      <c r="D270">
        <f>IF(Datos!A270="","",IFERROR(MAX(0,N(Datos!E270)),0))</f>
        <v/>
      </c>
      <c r="E270">
        <f>IF(Datos!A270="","",IFERROR(MAX(0,N(Datos!F270)),0))</f>
        <v/>
      </c>
      <c r="F270">
        <f>IF(Datos!A270="","",IFERROR(MAX(0,N(Datos!G270)),0))</f>
        <v/>
      </c>
      <c r="G270">
        <f>IF(Datos!A270="","",IFERROR(MAX(0,N(Datos!H270)),0))</f>
        <v/>
      </c>
      <c r="H270">
        <f>IF(Datos!A270="","",IFERROR(MAX(0,N(Datos!I270)),0))</f>
        <v/>
      </c>
      <c r="J270">
        <f>IF(Datos!A270="","",IF(MAX(C$2:C$301)-MIN(C$2:C$301)&lt;0.000000001,0.5,(C270-MIN(C$2:C$301))/(MAX(C$2:C$301)-MIN(C$2:C$301)))+0.000000001)</f>
        <v/>
      </c>
      <c r="K270">
        <f>IF(Datos!A270="","",IF(MAX(D$2:D$301)-MIN(D$2:D$301)&lt;0.000000001,0.5,(D270-MIN(D$2:D$301))/(MAX(D$2:D$301)-MIN(D$2:D$301)))+0.000000001)</f>
        <v/>
      </c>
      <c r="L270">
        <f>IF(Datos!A270="","",IF(MAX(E$2:E$301)-MIN(E$2:E$301)&lt;0.000000001,0.5,(E270-MIN(E$2:E$301))/(MAX(E$2:E$301)-MIN(E$2:E$301)))+0.000000001)</f>
        <v/>
      </c>
      <c r="M270">
        <f>IF(Datos!A270="","",IF(MAX(F$2:F$301)-MIN(F$2:F$301)&lt;0.000000001,0.5,(F270-MIN(F$2:F$301))/(MAX(F$2:F$301)-MIN(F$2:F$301)))+0.000000001)</f>
        <v/>
      </c>
      <c r="N270">
        <f>IF(Datos!A270="","",IF(MAX(G$2:G$301)-MIN(G$2:G$301)&lt;0.000000001,0.5,(G270-MIN(G$2:G$301))/(MAX(G$2:G$301)-MIN(G$2:G$301)))+0.000000001)</f>
        <v/>
      </c>
      <c r="O270">
        <f>IF(Datos!A270="","",IF(MAX(H$2:H$301)-MIN(H$2:H$301)&lt;0.000000001,0.5,(H270-MIN(H$2:H$301))/(MAX(H$2:H$301)-MIN(H$2:H$301)))+0.000000001)</f>
        <v/>
      </c>
      <c r="Q270">
        <f>IF(Datos!A270="","",(J270/SUM(J$2:J$301))*LN(J270/SUM(J$2:J$301)))</f>
        <v/>
      </c>
      <c r="R270">
        <f>IF(Datos!A270="","",(K270/SUM(K$2:K$301))*LN(K270/SUM(K$2:K$301)))</f>
        <v/>
      </c>
      <c r="S270">
        <f>IF(Datos!A270="","",(L270/SUM(L$2:L$301))*LN(L270/SUM(L$2:L$301)))</f>
        <v/>
      </c>
      <c r="T270">
        <f>IF(Datos!A270="","",(M270/SUM(M$2:M$301))*LN(M270/SUM(M$2:M$301)))</f>
        <v/>
      </c>
      <c r="U270">
        <f>IF(Datos!A270="","",(N270/SUM(N$2:N$301))*LN(N270/SUM(N$2:N$301)))</f>
        <v/>
      </c>
      <c r="V270">
        <f>IF(Datos!A270="","",(O270/SUM(O$2:O$301))*LN(O270/SUM(O$2:O$301)))</f>
        <v/>
      </c>
      <c r="X270">
        <f>IF(Datos!A270="","",IF(SUMSQ(C$2:C$301)=0,0,C270/SQRT(SUMSQ(C$2:C$301)))*$BE$2)</f>
        <v/>
      </c>
      <c r="Y270">
        <f>IF(Datos!A270="","",IF(SUMSQ(D$2:D$301)=0,0,D270/SQRT(SUMSQ(D$2:D$301)))*$BE$3)</f>
        <v/>
      </c>
      <c r="Z270">
        <f>IF(Datos!A270="","",IF(SUMSQ(E$2:E$301)=0,0,E270/SQRT(SUMSQ(E$2:E$301)))*$BE$4)</f>
        <v/>
      </c>
      <c r="AA270">
        <f>IF(Datos!A270="","",IF(SUMSQ(F$2:F$301)=0,0,F270/SQRT(SUMSQ(F$2:F$301)))*$BE$5)</f>
        <v/>
      </c>
      <c r="AB270">
        <f>IF(Datos!A270="","",IF(SUMSQ(G$2:G$301)=0,0,G270/SQRT(SUMSQ(G$2:G$301)))*$BE$6)</f>
        <v/>
      </c>
      <c r="AC270">
        <f>IF(Datos!A270="","",IF(SUMSQ(H$2:H$301)=0,0,H270/SQRT(SUMSQ(H$2:H$301)))*$BE$7)</f>
        <v/>
      </c>
      <c r="AE270">
        <f>IF(Datos!A270="","",SQRT(SUMXMY2(X270:AC270,$X$303:$AC$303)))</f>
        <v/>
      </c>
      <c r="AF270">
        <f>IF(Datos!A270="","",SQRT(SUMXMY2(X270:AC270,$X$304:$AC$304)))</f>
        <v/>
      </c>
      <c r="AG270" s="11">
        <f>IF(Datos!A270="","",IF(AE270+AF270&lt;0.000000001,0.5,AF270/(AE270+AF270)))</f>
        <v/>
      </c>
      <c r="AH270">
        <f>IF(Datos!A270="","",AG270*MAX(C270*D270,1))</f>
        <v/>
      </c>
      <c r="AI270">
        <f>IF(Datos!A270="","",SUMIF($AH$2:$AH$301,"&gt;="&amp;AH270,$AH$2:$AH$301)/SUM($AH$2:$AH$301))</f>
        <v/>
      </c>
      <c r="AJ270" s="12">
        <f>IF(Datos!A270="","",IF(AI270&lt;=Parametros!$B$13,"A",IF(AI270&lt;=Parametros!$B$14,"B","C")))</f>
        <v/>
      </c>
      <c r="AK270" s="13">
        <f>IF(Datos!A270="","",VLOOKUP(AJ270,Parametros!$A$8:$C$10,2,FALSE))</f>
        <v/>
      </c>
      <c r="AL270">
        <f>IF(Datos!A270="","",VLOOKUP(AJ270,Parametros!$A$8:$C$10,3,FALSE))</f>
        <v/>
      </c>
      <c r="AM270">
        <f>IF(Datos!A270="","",NORMSINV(AK270))</f>
        <v/>
      </c>
      <c r="AN270">
        <f>IF(Datos!A270="","",D270/Parametros!$B$4)</f>
        <v/>
      </c>
      <c r="AO270">
        <f>IF(Datos!A270="","",MAX(0,ROUNDUP(AM270*(AN270*Parametros!$B$3)*SQRT((AL270+E270)),0)))</f>
        <v/>
      </c>
      <c r="AP270">
        <f>IF(Datos!A270="","",MAX(1,ROUNDUP(AN270*(AL270+E270)+AM270*(AN270*Parametros!$B$3)*SQRT((AL270+E270)),0)))</f>
        <v/>
      </c>
      <c r="AQ270">
        <f>IF(Datos!A270="","",IF(Datos!J270="","",Datos!J270))</f>
        <v/>
      </c>
      <c r="AR270">
        <f>IF(OR(Datos!A270="",AQ270=""),"",MAX(0,AQ270-AP270))</f>
        <v/>
      </c>
      <c r="AS270" s="10">
        <f>IF(OR(Datos!A270="",AQ270=""),"",AR270*C270)</f>
        <v/>
      </c>
      <c r="AT270" s="12">
        <f>IF(OR(Datos!A270="",AQ270=""),"",IF(AQ270&lt;AO270,"SI",""))</f>
        <v/>
      </c>
      <c r="AU270">
        <f>IF(Datos!A270="","",IF(AT270="SI","Reponer ahora",IF(AND(AQ270&lt;&gt;"",AR270&gt;0),"Bajar "&amp;TEXT(AR270,"#,##0")&amp;" un.","En rango")))</f>
        <v/>
      </c>
    </row>
    <row r="271">
      <c r="A271">
        <f>IF(Datos!A271="","",Datos!A271)</f>
        <v/>
      </c>
      <c r="B271">
        <f>IF(Datos!A271="","",Datos!B271)</f>
        <v/>
      </c>
      <c r="C271">
        <f>IF(Datos!A271="","",IFERROR(MAX(0,N(Datos!D271)),0))</f>
        <v/>
      </c>
      <c r="D271">
        <f>IF(Datos!A271="","",IFERROR(MAX(0,N(Datos!E271)),0))</f>
        <v/>
      </c>
      <c r="E271">
        <f>IF(Datos!A271="","",IFERROR(MAX(0,N(Datos!F271)),0))</f>
        <v/>
      </c>
      <c r="F271">
        <f>IF(Datos!A271="","",IFERROR(MAX(0,N(Datos!G271)),0))</f>
        <v/>
      </c>
      <c r="G271">
        <f>IF(Datos!A271="","",IFERROR(MAX(0,N(Datos!H271)),0))</f>
        <v/>
      </c>
      <c r="H271">
        <f>IF(Datos!A271="","",IFERROR(MAX(0,N(Datos!I271)),0))</f>
        <v/>
      </c>
      <c r="J271">
        <f>IF(Datos!A271="","",IF(MAX(C$2:C$301)-MIN(C$2:C$301)&lt;0.000000001,0.5,(C271-MIN(C$2:C$301))/(MAX(C$2:C$301)-MIN(C$2:C$301)))+0.000000001)</f>
        <v/>
      </c>
      <c r="K271">
        <f>IF(Datos!A271="","",IF(MAX(D$2:D$301)-MIN(D$2:D$301)&lt;0.000000001,0.5,(D271-MIN(D$2:D$301))/(MAX(D$2:D$301)-MIN(D$2:D$301)))+0.000000001)</f>
        <v/>
      </c>
      <c r="L271">
        <f>IF(Datos!A271="","",IF(MAX(E$2:E$301)-MIN(E$2:E$301)&lt;0.000000001,0.5,(E271-MIN(E$2:E$301))/(MAX(E$2:E$301)-MIN(E$2:E$301)))+0.000000001)</f>
        <v/>
      </c>
      <c r="M271">
        <f>IF(Datos!A271="","",IF(MAX(F$2:F$301)-MIN(F$2:F$301)&lt;0.000000001,0.5,(F271-MIN(F$2:F$301))/(MAX(F$2:F$301)-MIN(F$2:F$301)))+0.000000001)</f>
        <v/>
      </c>
      <c r="N271">
        <f>IF(Datos!A271="","",IF(MAX(G$2:G$301)-MIN(G$2:G$301)&lt;0.000000001,0.5,(G271-MIN(G$2:G$301))/(MAX(G$2:G$301)-MIN(G$2:G$301)))+0.000000001)</f>
        <v/>
      </c>
      <c r="O271">
        <f>IF(Datos!A271="","",IF(MAX(H$2:H$301)-MIN(H$2:H$301)&lt;0.000000001,0.5,(H271-MIN(H$2:H$301))/(MAX(H$2:H$301)-MIN(H$2:H$301)))+0.000000001)</f>
        <v/>
      </c>
      <c r="Q271">
        <f>IF(Datos!A271="","",(J271/SUM(J$2:J$301))*LN(J271/SUM(J$2:J$301)))</f>
        <v/>
      </c>
      <c r="R271">
        <f>IF(Datos!A271="","",(K271/SUM(K$2:K$301))*LN(K271/SUM(K$2:K$301)))</f>
        <v/>
      </c>
      <c r="S271">
        <f>IF(Datos!A271="","",(L271/SUM(L$2:L$301))*LN(L271/SUM(L$2:L$301)))</f>
        <v/>
      </c>
      <c r="T271">
        <f>IF(Datos!A271="","",(M271/SUM(M$2:M$301))*LN(M271/SUM(M$2:M$301)))</f>
        <v/>
      </c>
      <c r="U271">
        <f>IF(Datos!A271="","",(N271/SUM(N$2:N$301))*LN(N271/SUM(N$2:N$301)))</f>
        <v/>
      </c>
      <c r="V271">
        <f>IF(Datos!A271="","",(O271/SUM(O$2:O$301))*LN(O271/SUM(O$2:O$301)))</f>
        <v/>
      </c>
      <c r="X271">
        <f>IF(Datos!A271="","",IF(SUMSQ(C$2:C$301)=0,0,C271/SQRT(SUMSQ(C$2:C$301)))*$BE$2)</f>
        <v/>
      </c>
      <c r="Y271">
        <f>IF(Datos!A271="","",IF(SUMSQ(D$2:D$301)=0,0,D271/SQRT(SUMSQ(D$2:D$301)))*$BE$3)</f>
        <v/>
      </c>
      <c r="Z271">
        <f>IF(Datos!A271="","",IF(SUMSQ(E$2:E$301)=0,0,E271/SQRT(SUMSQ(E$2:E$301)))*$BE$4)</f>
        <v/>
      </c>
      <c r="AA271">
        <f>IF(Datos!A271="","",IF(SUMSQ(F$2:F$301)=0,0,F271/SQRT(SUMSQ(F$2:F$301)))*$BE$5)</f>
        <v/>
      </c>
      <c r="AB271">
        <f>IF(Datos!A271="","",IF(SUMSQ(G$2:G$301)=0,0,G271/SQRT(SUMSQ(G$2:G$301)))*$BE$6)</f>
        <v/>
      </c>
      <c r="AC271">
        <f>IF(Datos!A271="","",IF(SUMSQ(H$2:H$301)=0,0,H271/SQRT(SUMSQ(H$2:H$301)))*$BE$7)</f>
        <v/>
      </c>
      <c r="AE271">
        <f>IF(Datos!A271="","",SQRT(SUMXMY2(X271:AC271,$X$303:$AC$303)))</f>
        <v/>
      </c>
      <c r="AF271">
        <f>IF(Datos!A271="","",SQRT(SUMXMY2(X271:AC271,$X$304:$AC$304)))</f>
        <v/>
      </c>
      <c r="AG271" s="11">
        <f>IF(Datos!A271="","",IF(AE271+AF271&lt;0.000000001,0.5,AF271/(AE271+AF271)))</f>
        <v/>
      </c>
      <c r="AH271">
        <f>IF(Datos!A271="","",AG271*MAX(C271*D271,1))</f>
        <v/>
      </c>
      <c r="AI271">
        <f>IF(Datos!A271="","",SUMIF($AH$2:$AH$301,"&gt;="&amp;AH271,$AH$2:$AH$301)/SUM($AH$2:$AH$301))</f>
        <v/>
      </c>
      <c r="AJ271" s="12">
        <f>IF(Datos!A271="","",IF(AI271&lt;=Parametros!$B$13,"A",IF(AI271&lt;=Parametros!$B$14,"B","C")))</f>
        <v/>
      </c>
      <c r="AK271" s="13">
        <f>IF(Datos!A271="","",VLOOKUP(AJ271,Parametros!$A$8:$C$10,2,FALSE))</f>
        <v/>
      </c>
      <c r="AL271">
        <f>IF(Datos!A271="","",VLOOKUP(AJ271,Parametros!$A$8:$C$10,3,FALSE))</f>
        <v/>
      </c>
      <c r="AM271">
        <f>IF(Datos!A271="","",NORMSINV(AK271))</f>
        <v/>
      </c>
      <c r="AN271">
        <f>IF(Datos!A271="","",D271/Parametros!$B$4)</f>
        <v/>
      </c>
      <c r="AO271">
        <f>IF(Datos!A271="","",MAX(0,ROUNDUP(AM271*(AN271*Parametros!$B$3)*SQRT((AL271+E271)),0)))</f>
        <v/>
      </c>
      <c r="AP271">
        <f>IF(Datos!A271="","",MAX(1,ROUNDUP(AN271*(AL271+E271)+AM271*(AN271*Parametros!$B$3)*SQRT((AL271+E271)),0)))</f>
        <v/>
      </c>
      <c r="AQ271">
        <f>IF(Datos!A271="","",IF(Datos!J271="","",Datos!J271))</f>
        <v/>
      </c>
      <c r="AR271">
        <f>IF(OR(Datos!A271="",AQ271=""),"",MAX(0,AQ271-AP271))</f>
        <v/>
      </c>
      <c r="AS271" s="10">
        <f>IF(OR(Datos!A271="",AQ271=""),"",AR271*C271)</f>
        <v/>
      </c>
      <c r="AT271" s="12">
        <f>IF(OR(Datos!A271="",AQ271=""),"",IF(AQ271&lt;AO271,"SI",""))</f>
        <v/>
      </c>
      <c r="AU271">
        <f>IF(Datos!A271="","",IF(AT271="SI","Reponer ahora",IF(AND(AQ271&lt;&gt;"",AR271&gt;0),"Bajar "&amp;TEXT(AR271,"#,##0")&amp;" un.","En rango")))</f>
        <v/>
      </c>
    </row>
    <row r="272">
      <c r="A272">
        <f>IF(Datos!A272="","",Datos!A272)</f>
        <v/>
      </c>
      <c r="B272">
        <f>IF(Datos!A272="","",Datos!B272)</f>
        <v/>
      </c>
      <c r="C272">
        <f>IF(Datos!A272="","",IFERROR(MAX(0,N(Datos!D272)),0))</f>
        <v/>
      </c>
      <c r="D272">
        <f>IF(Datos!A272="","",IFERROR(MAX(0,N(Datos!E272)),0))</f>
        <v/>
      </c>
      <c r="E272">
        <f>IF(Datos!A272="","",IFERROR(MAX(0,N(Datos!F272)),0))</f>
        <v/>
      </c>
      <c r="F272">
        <f>IF(Datos!A272="","",IFERROR(MAX(0,N(Datos!G272)),0))</f>
        <v/>
      </c>
      <c r="G272">
        <f>IF(Datos!A272="","",IFERROR(MAX(0,N(Datos!H272)),0))</f>
        <v/>
      </c>
      <c r="H272">
        <f>IF(Datos!A272="","",IFERROR(MAX(0,N(Datos!I272)),0))</f>
        <v/>
      </c>
      <c r="J272">
        <f>IF(Datos!A272="","",IF(MAX(C$2:C$301)-MIN(C$2:C$301)&lt;0.000000001,0.5,(C272-MIN(C$2:C$301))/(MAX(C$2:C$301)-MIN(C$2:C$301)))+0.000000001)</f>
        <v/>
      </c>
      <c r="K272">
        <f>IF(Datos!A272="","",IF(MAX(D$2:D$301)-MIN(D$2:D$301)&lt;0.000000001,0.5,(D272-MIN(D$2:D$301))/(MAX(D$2:D$301)-MIN(D$2:D$301)))+0.000000001)</f>
        <v/>
      </c>
      <c r="L272">
        <f>IF(Datos!A272="","",IF(MAX(E$2:E$301)-MIN(E$2:E$301)&lt;0.000000001,0.5,(E272-MIN(E$2:E$301))/(MAX(E$2:E$301)-MIN(E$2:E$301)))+0.000000001)</f>
        <v/>
      </c>
      <c r="M272">
        <f>IF(Datos!A272="","",IF(MAX(F$2:F$301)-MIN(F$2:F$301)&lt;0.000000001,0.5,(F272-MIN(F$2:F$301))/(MAX(F$2:F$301)-MIN(F$2:F$301)))+0.000000001)</f>
        <v/>
      </c>
      <c r="N272">
        <f>IF(Datos!A272="","",IF(MAX(G$2:G$301)-MIN(G$2:G$301)&lt;0.000000001,0.5,(G272-MIN(G$2:G$301))/(MAX(G$2:G$301)-MIN(G$2:G$301)))+0.000000001)</f>
        <v/>
      </c>
      <c r="O272">
        <f>IF(Datos!A272="","",IF(MAX(H$2:H$301)-MIN(H$2:H$301)&lt;0.000000001,0.5,(H272-MIN(H$2:H$301))/(MAX(H$2:H$301)-MIN(H$2:H$301)))+0.000000001)</f>
        <v/>
      </c>
      <c r="Q272">
        <f>IF(Datos!A272="","",(J272/SUM(J$2:J$301))*LN(J272/SUM(J$2:J$301)))</f>
        <v/>
      </c>
      <c r="R272">
        <f>IF(Datos!A272="","",(K272/SUM(K$2:K$301))*LN(K272/SUM(K$2:K$301)))</f>
        <v/>
      </c>
      <c r="S272">
        <f>IF(Datos!A272="","",(L272/SUM(L$2:L$301))*LN(L272/SUM(L$2:L$301)))</f>
        <v/>
      </c>
      <c r="T272">
        <f>IF(Datos!A272="","",(M272/SUM(M$2:M$301))*LN(M272/SUM(M$2:M$301)))</f>
        <v/>
      </c>
      <c r="U272">
        <f>IF(Datos!A272="","",(N272/SUM(N$2:N$301))*LN(N272/SUM(N$2:N$301)))</f>
        <v/>
      </c>
      <c r="V272">
        <f>IF(Datos!A272="","",(O272/SUM(O$2:O$301))*LN(O272/SUM(O$2:O$301)))</f>
        <v/>
      </c>
      <c r="X272">
        <f>IF(Datos!A272="","",IF(SUMSQ(C$2:C$301)=0,0,C272/SQRT(SUMSQ(C$2:C$301)))*$BE$2)</f>
        <v/>
      </c>
      <c r="Y272">
        <f>IF(Datos!A272="","",IF(SUMSQ(D$2:D$301)=0,0,D272/SQRT(SUMSQ(D$2:D$301)))*$BE$3)</f>
        <v/>
      </c>
      <c r="Z272">
        <f>IF(Datos!A272="","",IF(SUMSQ(E$2:E$301)=0,0,E272/SQRT(SUMSQ(E$2:E$301)))*$BE$4)</f>
        <v/>
      </c>
      <c r="AA272">
        <f>IF(Datos!A272="","",IF(SUMSQ(F$2:F$301)=0,0,F272/SQRT(SUMSQ(F$2:F$301)))*$BE$5)</f>
        <v/>
      </c>
      <c r="AB272">
        <f>IF(Datos!A272="","",IF(SUMSQ(G$2:G$301)=0,0,G272/SQRT(SUMSQ(G$2:G$301)))*$BE$6)</f>
        <v/>
      </c>
      <c r="AC272">
        <f>IF(Datos!A272="","",IF(SUMSQ(H$2:H$301)=0,0,H272/SQRT(SUMSQ(H$2:H$301)))*$BE$7)</f>
        <v/>
      </c>
      <c r="AE272">
        <f>IF(Datos!A272="","",SQRT(SUMXMY2(X272:AC272,$X$303:$AC$303)))</f>
        <v/>
      </c>
      <c r="AF272">
        <f>IF(Datos!A272="","",SQRT(SUMXMY2(X272:AC272,$X$304:$AC$304)))</f>
        <v/>
      </c>
      <c r="AG272" s="11">
        <f>IF(Datos!A272="","",IF(AE272+AF272&lt;0.000000001,0.5,AF272/(AE272+AF272)))</f>
        <v/>
      </c>
      <c r="AH272">
        <f>IF(Datos!A272="","",AG272*MAX(C272*D272,1))</f>
        <v/>
      </c>
      <c r="AI272">
        <f>IF(Datos!A272="","",SUMIF($AH$2:$AH$301,"&gt;="&amp;AH272,$AH$2:$AH$301)/SUM($AH$2:$AH$301))</f>
        <v/>
      </c>
      <c r="AJ272" s="12">
        <f>IF(Datos!A272="","",IF(AI272&lt;=Parametros!$B$13,"A",IF(AI272&lt;=Parametros!$B$14,"B","C")))</f>
        <v/>
      </c>
      <c r="AK272" s="13">
        <f>IF(Datos!A272="","",VLOOKUP(AJ272,Parametros!$A$8:$C$10,2,FALSE))</f>
        <v/>
      </c>
      <c r="AL272">
        <f>IF(Datos!A272="","",VLOOKUP(AJ272,Parametros!$A$8:$C$10,3,FALSE))</f>
        <v/>
      </c>
      <c r="AM272">
        <f>IF(Datos!A272="","",NORMSINV(AK272))</f>
        <v/>
      </c>
      <c r="AN272">
        <f>IF(Datos!A272="","",D272/Parametros!$B$4)</f>
        <v/>
      </c>
      <c r="AO272">
        <f>IF(Datos!A272="","",MAX(0,ROUNDUP(AM272*(AN272*Parametros!$B$3)*SQRT((AL272+E272)),0)))</f>
        <v/>
      </c>
      <c r="AP272">
        <f>IF(Datos!A272="","",MAX(1,ROUNDUP(AN272*(AL272+E272)+AM272*(AN272*Parametros!$B$3)*SQRT((AL272+E272)),0)))</f>
        <v/>
      </c>
      <c r="AQ272">
        <f>IF(Datos!A272="","",IF(Datos!J272="","",Datos!J272))</f>
        <v/>
      </c>
      <c r="AR272">
        <f>IF(OR(Datos!A272="",AQ272=""),"",MAX(0,AQ272-AP272))</f>
        <v/>
      </c>
      <c r="AS272" s="10">
        <f>IF(OR(Datos!A272="",AQ272=""),"",AR272*C272)</f>
        <v/>
      </c>
      <c r="AT272" s="12">
        <f>IF(OR(Datos!A272="",AQ272=""),"",IF(AQ272&lt;AO272,"SI",""))</f>
        <v/>
      </c>
      <c r="AU272">
        <f>IF(Datos!A272="","",IF(AT272="SI","Reponer ahora",IF(AND(AQ272&lt;&gt;"",AR272&gt;0),"Bajar "&amp;TEXT(AR272,"#,##0")&amp;" un.","En rango")))</f>
        <v/>
      </c>
    </row>
    <row r="273">
      <c r="A273">
        <f>IF(Datos!A273="","",Datos!A273)</f>
        <v/>
      </c>
      <c r="B273">
        <f>IF(Datos!A273="","",Datos!B273)</f>
        <v/>
      </c>
      <c r="C273">
        <f>IF(Datos!A273="","",IFERROR(MAX(0,N(Datos!D273)),0))</f>
        <v/>
      </c>
      <c r="D273">
        <f>IF(Datos!A273="","",IFERROR(MAX(0,N(Datos!E273)),0))</f>
        <v/>
      </c>
      <c r="E273">
        <f>IF(Datos!A273="","",IFERROR(MAX(0,N(Datos!F273)),0))</f>
        <v/>
      </c>
      <c r="F273">
        <f>IF(Datos!A273="","",IFERROR(MAX(0,N(Datos!G273)),0))</f>
        <v/>
      </c>
      <c r="G273">
        <f>IF(Datos!A273="","",IFERROR(MAX(0,N(Datos!H273)),0))</f>
        <v/>
      </c>
      <c r="H273">
        <f>IF(Datos!A273="","",IFERROR(MAX(0,N(Datos!I273)),0))</f>
        <v/>
      </c>
      <c r="J273">
        <f>IF(Datos!A273="","",IF(MAX(C$2:C$301)-MIN(C$2:C$301)&lt;0.000000001,0.5,(C273-MIN(C$2:C$301))/(MAX(C$2:C$301)-MIN(C$2:C$301)))+0.000000001)</f>
        <v/>
      </c>
      <c r="K273">
        <f>IF(Datos!A273="","",IF(MAX(D$2:D$301)-MIN(D$2:D$301)&lt;0.000000001,0.5,(D273-MIN(D$2:D$301))/(MAX(D$2:D$301)-MIN(D$2:D$301)))+0.000000001)</f>
        <v/>
      </c>
      <c r="L273">
        <f>IF(Datos!A273="","",IF(MAX(E$2:E$301)-MIN(E$2:E$301)&lt;0.000000001,0.5,(E273-MIN(E$2:E$301))/(MAX(E$2:E$301)-MIN(E$2:E$301)))+0.000000001)</f>
        <v/>
      </c>
      <c r="M273">
        <f>IF(Datos!A273="","",IF(MAX(F$2:F$301)-MIN(F$2:F$301)&lt;0.000000001,0.5,(F273-MIN(F$2:F$301))/(MAX(F$2:F$301)-MIN(F$2:F$301)))+0.000000001)</f>
        <v/>
      </c>
      <c r="N273">
        <f>IF(Datos!A273="","",IF(MAX(G$2:G$301)-MIN(G$2:G$301)&lt;0.000000001,0.5,(G273-MIN(G$2:G$301))/(MAX(G$2:G$301)-MIN(G$2:G$301)))+0.000000001)</f>
        <v/>
      </c>
      <c r="O273">
        <f>IF(Datos!A273="","",IF(MAX(H$2:H$301)-MIN(H$2:H$301)&lt;0.000000001,0.5,(H273-MIN(H$2:H$301))/(MAX(H$2:H$301)-MIN(H$2:H$301)))+0.000000001)</f>
        <v/>
      </c>
      <c r="Q273">
        <f>IF(Datos!A273="","",(J273/SUM(J$2:J$301))*LN(J273/SUM(J$2:J$301)))</f>
        <v/>
      </c>
      <c r="R273">
        <f>IF(Datos!A273="","",(K273/SUM(K$2:K$301))*LN(K273/SUM(K$2:K$301)))</f>
        <v/>
      </c>
      <c r="S273">
        <f>IF(Datos!A273="","",(L273/SUM(L$2:L$301))*LN(L273/SUM(L$2:L$301)))</f>
        <v/>
      </c>
      <c r="T273">
        <f>IF(Datos!A273="","",(M273/SUM(M$2:M$301))*LN(M273/SUM(M$2:M$301)))</f>
        <v/>
      </c>
      <c r="U273">
        <f>IF(Datos!A273="","",(N273/SUM(N$2:N$301))*LN(N273/SUM(N$2:N$301)))</f>
        <v/>
      </c>
      <c r="V273">
        <f>IF(Datos!A273="","",(O273/SUM(O$2:O$301))*LN(O273/SUM(O$2:O$301)))</f>
        <v/>
      </c>
      <c r="X273">
        <f>IF(Datos!A273="","",IF(SUMSQ(C$2:C$301)=0,0,C273/SQRT(SUMSQ(C$2:C$301)))*$BE$2)</f>
        <v/>
      </c>
      <c r="Y273">
        <f>IF(Datos!A273="","",IF(SUMSQ(D$2:D$301)=0,0,D273/SQRT(SUMSQ(D$2:D$301)))*$BE$3)</f>
        <v/>
      </c>
      <c r="Z273">
        <f>IF(Datos!A273="","",IF(SUMSQ(E$2:E$301)=0,0,E273/SQRT(SUMSQ(E$2:E$301)))*$BE$4)</f>
        <v/>
      </c>
      <c r="AA273">
        <f>IF(Datos!A273="","",IF(SUMSQ(F$2:F$301)=0,0,F273/SQRT(SUMSQ(F$2:F$301)))*$BE$5)</f>
        <v/>
      </c>
      <c r="AB273">
        <f>IF(Datos!A273="","",IF(SUMSQ(G$2:G$301)=0,0,G273/SQRT(SUMSQ(G$2:G$301)))*$BE$6)</f>
        <v/>
      </c>
      <c r="AC273">
        <f>IF(Datos!A273="","",IF(SUMSQ(H$2:H$301)=0,0,H273/SQRT(SUMSQ(H$2:H$301)))*$BE$7)</f>
        <v/>
      </c>
      <c r="AE273">
        <f>IF(Datos!A273="","",SQRT(SUMXMY2(X273:AC273,$X$303:$AC$303)))</f>
        <v/>
      </c>
      <c r="AF273">
        <f>IF(Datos!A273="","",SQRT(SUMXMY2(X273:AC273,$X$304:$AC$304)))</f>
        <v/>
      </c>
      <c r="AG273" s="11">
        <f>IF(Datos!A273="","",IF(AE273+AF273&lt;0.000000001,0.5,AF273/(AE273+AF273)))</f>
        <v/>
      </c>
      <c r="AH273">
        <f>IF(Datos!A273="","",AG273*MAX(C273*D273,1))</f>
        <v/>
      </c>
      <c r="AI273">
        <f>IF(Datos!A273="","",SUMIF($AH$2:$AH$301,"&gt;="&amp;AH273,$AH$2:$AH$301)/SUM($AH$2:$AH$301))</f>
        <v/>
      </c>
      <c r="AJ273" s="12">
        <f>IF(Datos!A273="","",IF(AI273&lt;=Parametros!$B$13,"A",IF(AI273&lt;=Parametros!$B$14,"B","C")))</f>
        <v/>
      </c>
      <c r="AK273" s="13">
        <f>IF(Datos!A273="","",VLOOKUP(AJ273,Parametros!$A$8:$C$10,2,FALSE))</f>
        <v/>
      </c>
      <c r="AL273">
        <f>IF(Datos!A273="","",VLOOKUP(AJ273,Parametros!$A$8:$C$10,3,FALSE))</f>
        <v/>
      </c>
      <c r="AM273">
        <f>IF(Datos!A273="","",NORMSINV(AK273))</f>
        <v/>
      </c>
      <c r="AN273">
        <f>IF(Datos!A273="","",D273/Parametros!$B$4)</f>
        <v/>
      </c>
      <c r="AO273">
        <f>IF(Datos!A273="","",MAX(0,ROUNDUP(AM273*(AN273*Parametros!$B$3)*SQRT((AL273+E273)),0)))</f>
        <v/>
      </c>
      <c r="AP273">
        <f>IF(Datos!A273="","",MAX(1,ROUNDUP(AN273*(AL273+E273)+AM273*(AN273*Parametros!$B$3)*SQRT((AL273+E273)),0)))</f>
        <v/>
      </c>
      <c r="AQ273">
        <f>IF(Datos!A273="","",IF(Datos!J273="","",Datos!J273))</f>
        <v/>
      </c>
      <c r="AR273">
        <f>IF(OR(Datos!A273="",AQ273=""),"",MAX(0,AQ273-AP273))</f>
        <v/>
      </c>
      <c r="AS273" s="10">
        <f>IF(OR(Datos!A273="",AQ273=""),"",AR273*C273)</f>
        <v/>
      </c>
      <c r="AT273" s="12">
        <f>IF(OR(Datos!A273="",AQ273=""),"",IF(AQ273&lt;AO273,"SI",""))</f>
        <v/>
      </c>
      <c r="AU273">
        <f>IF(Datos!A273="","",IF(AT273="SI","Reponer ahora",IF(AND(AQ273&lt;&gt;"",AR273&gt;0),"Bajar "&amp;TEXT(AR273,"#,##0")&amp;" un.","En rango")))</f>
        <v/>
      </c>
    </row>
    <row r="274">
      <c r="A274">
        <f>IF(Datos!A274="","",Datos!A274)</f>
        <v/>
      </c>
      <c r="B274">
        <f>IF(Datos!A274="","",Datos!B274)</f>
        <v/>
      </c>
      <c r="C274">
        <f>IF(Datos!A274="","",IFERROR(MAX(0,N(Datos!D274)),0))</f>
        <v/>
      </c>
      <c r="D274">
        <f>IF(Datos!A274="","",IFERROR(MAX(0,N(Datos!E274)),0))</f>
        <v/>
      </c>
      <c r="E274">
        <f>IF(Datos!A274="","",IFERROR(MAX(0,N(Datos!F274)),0))</f>
        <v/>
      </c>
      <c r="F274">
        <f>IF(Datos!A274="","",IFERROR(MAX(0,N(Datos!G274)),0))</f>
        <v/>
      </c>
      <c r="G274">
        <f>IF(Datos!A274="","",IFERROR(MAX(0,N(Datos!H274)),0))</f>
        <v/>
      </c>
      <c r="H274">
        <f>IF(Datos!A274="","",IFERROR(MAX(0,N(Datos!I274)),0))</f>
        <v/>
      </c>
      <c r="J274">
        <f>IF(Datos!A274="","",IF(MAX(C$2:C$301)-MIN(C$2:C$301)&lt;0.000000001,0.5,(C274-MIN(C$2:C$301))/(MAX(C$2:C$301)-MIN(C$2:C$301)))+0.000000001)</f>
        <v/>
      </c>
      <c r="K274">
        <f>IF(Datos!A274="","",IF(MAX(D$2:D$301)-MIN(D$2:D$301)&lt;0.000000001,0.5,(D274-MIN(D$2:D$301))/(MAX(D$2:D$301)-MIN(D$2:D$301)))+0.000000001)</f>
        <v/>
      </c>
      <c r="L274">
        <f>IF(Datos!A274="","",IF(MAX(E$2:E$301)-MIN(E$2:E$301)&lt;0.000000001,0.5,(E274-MIN(E$2:E$301))/(MAX(E$2:E$301)-MIN(E$2:E$301)))+0.000000001)</f>
        <v/>
      </c>
      <c r="M274">
        <f>IF(Datos!A274="","",IF(MAX(F$2:F$301)-MIN(F$2:F$301)&lt;0.000000001,0.5,(F274-MIN(F$2:F$301))/(MAX(F$2:F$301)-MIN(F$2:F$301)))+0.000000001)</f>
        <v/>
      </c>
      <c r="N274">
        <f>IF(Datos!A274="","",IF(MAX(G$2:G$301)-MIN(G$2:G$301)&lt;0.000000001,0.5,(G274-MIN(G$2:G$301))/(MAX(G$2:G$301)-MIN(G$2:G$301)))+0.000000001)</f>
        <v/>
      </c>
      <c r="O274">
        <f>IF(Datos!A274="","",IF(MAX(H$2:H$301)-MIN(H$2:H$301)&lt;0.000000001,0.5,(H274-MIN(H$2:H$301))/(MAX(H$2:H$301)-MIN(H$2:H$301)))+0.000000001)</f>
        <v/>
      </c>
      <c r="Q274">
        <f>IF(Datos!A274="","",(J274/SUM(J$2:J$301))*LN(J274/SUM(J$2:J$301)))</f>
        <v/>
      </c>
      <c r="R274">
        <f>IF(Datos!A274="","",(K274/SUM(K$2:K$301))*LN(K274/SUM(K$2:K$301)))</f>
        <v/>
      </c>
      <c r="S274">
        <f>IF(Datos!A274="","",(L274/SUM(L$2:L$301))*LN(L274/SUM(L$2:L$301)))</f>
        <v/>
      </c>
      <c r="T274">
        <f>IF(Datos!A274="","",(M274/SUM(M$2:M$301))*LN(M274/SUM(M$2:M$301)))</f>
        <v/>
      </c>
      <c r="U274">
        <f>IF(Datos!A274="","",(N274/SUM(N$2:N$301))*LN(N274/SUM(N$2:N$301)))</f>
        <v/>
      </c>
      <c r="V274">
        <f>IF(Datos!A274="","",(O274/SUM(O$2:O$301))*LN(O274/SUM(O$2:O$301)))</f>
        <v/>
      </c>
      <c r="X274">
        <f>IF(Datos!A274="","",IF(SUMSQ(C$2:C$301)=0,0,C274/SQRT(SUMSQ(C$2:C$301)))*$BE$2)</f>
        <v/>
      </c>
      <c r="Y274">
        <f>IF(Datos!A274="","",IF(SUMSQ(D$2:D$301)=0,0,D274/SQRT(SUMSQ(D$2:D$301)))*$BE$3)</f>
        <v/>
      </c>
      <c r="Z274">
        <f>IF(Datos!A274="","",IF(SUMSQ(E$2:E$301)=0,0,E274/SQRT(SUMSQ(E$2:E$301)))*$BE$4)</f>
        <v/>
      </c>
      <c r="AA274">
        <f>IF(Datos!A274="","",IF(SUMSQ(F$2:F$301)=0,0,F274/SQRT(SUMSQ(F$2:F$301)))*$BE$5)</f>
        <v/>
      </c>
      <c r="AB274">
        <f>IF(Datos!A274="","",IF(SUMSQ(G$2:G$301)=0,0,G274/SQRT(SUMSQ(G$2:G$301)))*$BE$6)</f>
        <v/>
      </c>
      <c r="AC274">
        <f>IF(Datos!A274="","",IF(SUMSQ(H$2:H$301)=0,0,H274/SQRT(SUMSQ(H$2:H$301)))*$BE$7)</f>
        <v/>
      </c>
      <c r="AE274">
        <f>IF(Datos!A274="","",SQRT(SUMXMY2(X274:AC274,$X$303:$AC$303)))</f>
        <v/>
      </c>
      <c r="AF274">
        <f>IF(Datos!A274="","",SQRT(SUMXMY2(X274:AC274,$X$304:$AC$304)))</f>
        <v/>
      </c>
      <c r="AG274" s="11">
        <f>IF(Datos!A274="","",IF(AE274+AF274&lt;0.000000001,0.5,AF274/(AE274+AF274)))</f>
        <v/>
      </c>
      <c r="AH274">
        <f>IF(Datos!A274="","",AG274*MAX(C274*D274,1))</f>
        <v/>
      </c>
      <c r="AI274">
        <f>IF(Datos!A274="","",SUMIF($AH$2:$AH$301,"&gt;="&amp;AH274,$AH$2:$AH$301)/SUM($AH$2:$AH$301))</f>
        <v/>
      </c>
      <c r="AJ274" s="12">
        <f>IF(Datos!A274="","",IF(AI274&lt;=Parametros!$B$13,"A",IF(AI274&lt;=Parametros!$B$14,"B","C")))</f>
        <v/>
      </c>
      <c r="AK274" s="13">
        <f>IF(Datos!A274="","",VLOOKUP(AJ274,Parametros!$A$8:$C$10,2,FALSE))</f>
        <v/>
      </c>
      <c r="AL274">
        <f>IF(Datos!A274="","",VLOOKUP(AJ274,Parametros!$A$8:$C$10,3,FALSE))</f>
        <v/>
      </c>
      <c r="AM274">
        <f>IF(Datos!A274="","",NORMSINV(AK274))</f>
        <v/>
      </c>
      <c r="AN274">
        <f>IF(Datos!A274="","",D274/Parametros!$B$4)</f>
        <v/>
      </c>
      <c r="AO274">
        <f>IF(Datos!A274="","",MAX(0,ROUNDUP(AM274*(AN274*Parametros!$B$3)*SQRT((AL274+E274)),0)))</f>
        <v/>
      </c>
      <c r="AP274">
        <f>IF(Datos!A274="","",MAX(1,ROUNDUP(AN274*(AL274+E274)+AM274*(AN274*Parametros!$B$3)*SQRT((AL274+E274)),0)))</f>
        <v/>
      </c>
      <c r="AQ274">
        <f>IF(Datos!A274="","",IF(Datos!J274="","",Datos!J274))</f>
        <v/>
      </c>
      <c r="AR274">
        <f>IF(OR(Datos!A274="",AQ274=""),"",MAX(0,AQ274-AP274))</f>
        <v/>
      </c>
      <c r="AS274" s="10">
        <f>IF(OR(Datos!A274="",AQ274=""),"",AR274*C274)</f>
        <v/>
      </c>
      <c r="AT274" s="12">
        <f>IF(OR(Datos!A274="",AQ274=""),"",IF(AQ274&lt;AO274,"SI",""))</f>
        <v/>
      </c>
      <c r="AU274">
        <f>IF(Datos!A274="","",IF(AT274="SI","Reponer ahora",IF(AND(AQ274&lt;&gt;"",AR274&gt;0),"Bajar "&amp;TEXT(AR274,"#,##0")&amp;" un.","En rango")))</f>
        <v/>
      </c>
    </row>
    <row r="275">
      <c r="A275">
        <f>IF(Datos!A275="","",Datos!A275)</f>
        <v/>
      </c>
      <c r="B275">
        <f>IF(Datos!A275="","",Datos!B275)</f>
        <v/>
      </c>
      <c r="C275">
        <f>IF(Datos!A275="","",IFERROR(MAX(0,N(Datos!D275)),0))</f>
        <v/>
      </c>
      <c r="D275">
        <f>IF(Datos!A275="","",IFERROR(MAX(0,N(Datos!E275)),0))</f>
        <v/>
      </c>
      <c r="E275">
        <f>IF(Datos!A275="","",IFERROR(MAX(0,N(Datos!F275)),0))</f>
        <v/>
      </c>
      <c r="F275">
        <f>IF(Datos!A275="","",IFERROR(MAX(0,N(Datos!G275)),0))</f>
        <v/>
      </c>
      <c r="G275">
        <f>IF(Datos!A275="","",IFERROR(MAX(0,N(Datos!H275)),0))</f>
        <v/>
      </c>
      <c r="H275">
        <f>IF(Datos!A275="","",IFERROR(MAX(0,N(Datos!I275)),0))</f>
        <v/>
      </c>
      <c r="J275">
        <f>IF(Datos!A275="","",IF(MAX(C$2:C$301)-MIN(C$2:C$301)&lt;0.000000001,0.5,(C275-MIN(C$2:C$301))/(MAX(C$2:C$301)-MIN(C$2:C$301)))+0.000000001)</f>
        <v/>
      </c>
      <c r="K275">
        <f>IF(Datos!A275="","",IF(MAX(D$2:D$301)-MIN(D$2:D$301)&lt;0.000000001,0.5,(D275-MIN(D$2:D$301))/(MAX(D$2:D$301)-MIN(D$2:D$301)))+0.000000001)</f>
        <v/>
      </c>
      <c r="L275">
        <f>IF(Datos!A275="","",IF(MAX(E$2:E$301)-MIN(E$2:E$301)&lt;0.000000001,0.5,(E275-MIN(E$2:E$301))/(MAX(E$2:E$301)-MIN(E$2:E$301)))+0.000000001)</f>
        <v/>
      </c>
      <c r="M275">
        <f>IF(Datos!A275="","",IF(MAX(F$2:F$301)-MIN(F$2:F$301)&lt;0.000000001,0.5,(F275-MIN(F$2:F$301))/(MAX(F$2:F$301)-MIN(F$2:F$301)))+0.000000001)</f>
        <v/>
      </c>
      <c r="N275">
        <f>IF(Datos!A275="","",IF(MAX(G$2:G$301)-MIN(G$2:G$301)&lt;0.000000001,0.5,(G275-MIN(G$2:G$301))/(MAX(G$2:G$301)-MIN(G$2:G$301)))+0.000000001)</f>
        <v/>
      </c>
      <c r="O275">
        <f>IF(Datos!A275="","",IF(MAX(H$2:H$301)-MIN(H$2:H$301)&lt;0.000000001,0.5,(H275-MIN(H$2:H$301))/(MAX(H$2:H$301)-MIN(H$2:H$301)))+0.000000001)</f>
        <v/>
      </c>
      <c r="Q275">
        <f>IF(Datos!A275="","",(J275/SUM(J$2:J$301))*LN(J275/SUM(J$2:J$301)))</f>
        <v/>
      </c>
      <c r="R275">
        <f>IF(Datos!A275="","",(K275/SUM(K$2:K$301))*LN(K275/SUM(K$2:K$301)))</f>
        <v/>
      </c>
      <c r="S275">
        <f>IF(Datos!A275="","",(L275/SUM(L$2:L$301))*LN(L275/SUM(L$2:L$301)))</f>
        <v/>
      </c>
      <c r="T275">
        <f>IF(Datos!A275="","",(M275/SUM(M$2:M$301))*LN(M275/SUM(M$2:M$301)))</f>
        <v/>
      </c>
      <c r="U275">
        <f>IF(Datos!A275="","",(N275/SUM(N$2:N$301))*LN(N275/SUM(N$2:N$301)))</f>
        <v/>
      </c>
      <c r="V275">
        <f>IF(Datos!A275="","",(O275/SUM(O$2:O$301))*LN(O275/SUM(O$2:O$301)))</f>
        <v/>
      </c>
      <c r="X275">
        <f>IF(Datos!A275="","",IF(SUMSQ(C$2:C$301)=0,0,C275/SQRT(SUMSQ(C$2:C$301)))*$BE$2)</f>
        <v/>
      </c>
      <c r="Y275">
        <f>IF(Datos!A275="","",IF(SUMSQ(D$2:D$301)=0,0,D275/SQRT(SUMSQ(D$2:D$301)))*$BE$3)</f>
        <v/>
      </c>
      <c r="Z275">
        <f>IF(Datos!A275="","",IF(SUMSQ(E$2:E$301)=0,0,E275/SQRT(SUMSQ(E$2:E$301)))*$BE$4)</f>
        <v/>
      </c>
      <c r="AA275">
        <f>IF(Datos!A275="","",IF(SUMSQ(F$2:F$301)=0,0,F275/SQRT(SUMSQ(F$2:F$301)))*$BE$5)</f>
        <v/>
      </c>
      <c r="AB275">
        <f>IF(Datos!A275="","",IF(SUMSQ(G$2:G$301)=0,0,G275/SQRT(SUMSQ(G$2:G$301)))*$BE$6)</f>
        <v/>
      </c>
      <c r="AC275">
        <f>IF(Datos!A275="","",IF(SUMSQ(H$2:H$301)=0,0,H275/SQRT(SUMSQ(H$2:H$301)))*$BE$7)</f>
        <v/>
      </c>
      <c r="AE275">
        <f>IF(Datos!A275="","",SQRT(SUMXMY2(X275:AC275,$X$303:$AC$303)))</f>
        <v/>
      </c>
      <c r="AF275">
        <f>IF(Datos!A275="","",SQRT(SUMXMY2(X275:AC275,$X$304:$AC$304)))</f>
        <v/>
      </c>
      <c r="AG275" s="11">
        <f>IF(Datos!A275="","",IF(AE275+AF275&lt;0.000000001,0.5,AF275/(AE275+AF275)))</f>
        <v/>
      </c>
      <c r="AH275">
        <f>IF(Datos!A275="","",AG275*MAX(C275*D275,1))</f>
        <v/>
      </c>
      <c r="AI275">
        <f>IF(Datos!A275="","",SUMIF($AH$2:$AH$301,"&gt;="&amp;AH275,$AH$2:$AH$301)/SUM($AH$2:$AH$301))</f>
        <v/>
      </c>
      <c r="AJ275" s="12">
        <f>IF(Datos!A275="","",IF(AI275&lt;=Parametros!$B$13,"A",IF(AI275&lt;=Parametros!$B$14,"B","C")))</f>
        <v/>
      </c>
      <c r="AK275" s="13">
        <f>IF(Datos!A275="","",VLOOKUP(AJ275,Parametros!$A$8:$C$10,2,FALSE))</f>
        <v/>
      </c>
      <c r="AL275">
        <f>IF(Datos!A275="","",VLOOKUP(AJ275,Parametros!$A$8:$C$10,3,FALSE))</f>
        <v/>
      </c>
      <c r="AM275">
        <f>IF(Datos!A275="","",NORMSINV(AK275))</f>
        <v/>
      </c>
      <c r="AN275">
        <f>IF(Datos!A275="","",D275/Parametros!$B$4)</f>
        <v/>
      </c>
      <c r="AO275">
        <f>IF(Datos!A275="","",MAX(0,ROUNDUP(AM275*(AN275*Parametros!$B$3)*SQRT((AL275+E275)),0)))</f>
        <v/>
      </c>
      <c r="AP275">
        <f>IF(Datos!A275="","",MAX(1,ROUNDUP(AN275*(AL275+E275)+AM275*(AN275*Parametros!$B$3)*SQRT((AL275+E275)),0)))</f>
        <v/>
      </c>
      <c r="AQ275">
        <f>IF(Datos!A275="","",IF(Datos!J275="","",Datos!J275))</f>
        <v/>
      </c>
      <c r="AR275">
        <f>IF(OR(Datos!A275="",AQ275=""),"",MAX(0,AQ275-AP275))</f>
        <v/>
      </c>
      <c r="AS275" s="10">
        <f>IF(OR(Datos!A275="",AQ275=""),"",AR275*C275)</f>
        <v/>
      </c>
      <c r="AT275" s="12">
        <f>IF(OR(Datos!A275="",AQ275=""),"",IF(AQ275&lt;AO275,"SI",""))</f>
        <v/>
      </c>
      <c r="AU275">
        <f>IF(Datos!A275="","",IF(AT275="SI","Reponer ahora",IF(AND(AQ275&lt;&gt;"",AR275&gt;0),"Bajar "&amp;TEXT(AR275,"#,##0")&amp;" un.","En rango")))</f>
        <v/>
      </c>
    </row>
    <row r="276">
      <c r="A276">
        <f>IF(Datos!A276="","",Datos!A276)</f>
        <v/>
      </c>
      <c r="B276">
        <f>IF(Datos!A276="","",Datos!B276)</f>
        <v/>
      </c>
      <c r="C276">
        <f>IF(Datos!A276="","",IFERROR(MAX(0,N(Datos!D276)),0))</f>
        <v/>
      </c>
      <c r="D276">
        <f>IF(Datos!A276="","",IFERROR(MAX(0,N(Datos!E276)),0))</f>
        <v/>
      </c>
      <c r="E276">
        <f>IF(Datos!A276="","",IFERROR(MAX(0,N(Datos!F276)),0))</f>
        <v/>
      </c>
      <c r="F276">
        <f>IF(Datos!A276="","",IFERROR(MAX(0,N(Datos!G276)),0))</f>
        <v/>
      </c>
      <c r="G276">
        <f>IF(Datos!A276="","",IFERROR(MAX(0,N(Datos!H276)),0))</f>
        <v/>
      </c>
      <c r="H276">
        <f>IF(Datos!A276="","",IFERROR(MAX(0,N(Datos!I276)),0))</f>
        <v/>
      </c>
      <c r="J276">
        <f>IF(Datos!A276="","",IF(MAX(C$2:C$301)-MIN(C$2:C$301)&lt;0.000000001,0.5,(C276-MIN(C$2:C$301))/(MAX(C$2:C$301)-MIN(C$2:C$301)))+0.000000001)</f>
        <v/>
      </c>
      <c r="K276">
        <f>IF(Datos!A276="","",IF(MAX(D$2:D$301)-MIN(D$2:D$301)&lt;0.000000001,0.5,(D276-MIN(D$2:D$301))/(MAX(D$2:D$301)-MIN(D$2:D$301)))+0.000000001)</f>
        <v/>
      </c>
      <c r="L276">
        <f>IF(Datos!A276="","",IF(MAX(E$2:E$301)-MIN(E$2:E$301)&lt;0.000000001,0.5,(E276-MIN(E$2:E$301))/(MAX(E$2:E$301)-MIN(E$2:E$301)))+0.000000001)</f>
        <v/>
      </c>
      <c r="M276">
        <f>IF(Datos!A276="","",IF(MAX(F$2:F$301)-MIN(F$2:F$301)&lt;0.000000001,0.5,(F276-MIN(F$2:F$301))/(MAX(F$2:F$301)-MIN(F$2:F$301)))+0.000000001)</f>
        <v/>
      </c>
      <c r="N276">
        <f>IF(Datos!A276="","",IF(MAX(G$2:G$301)-MIN(G$2:G$301)&lt;0.000000001,0.5,(G276-MIN(G$2:G$301))/(MAX(G$2:G$301)-MIN(G$2:G$301)))+0.000000001)</f>
        <v/>
      </c>
      <c r="O276">
        <f>IF(Datos!A276="","",IF(MAX(H$2:H$301)-MIN(H$2:H$301)&lt;0.000000001,0.5,(H276-MIN(H$2:H$301))/(MAX(H$2:H$301)-MIN(H$2:H$301)))+0.000000001)</f>
        <v/>
      </c>
      <c r="Q276">
        <f>IF(Datos!A276="","",(J276/SUM(J$2:J$301))*LN(J276/SUM(J$2:J$301)))</f>
        <v/>
      </c>
      <c r="R276">
        <f>IF(Datos!A276="","",(K276/SUM(K$2:K$301))*LN(K276/SUM(K$2:K$301)))</f>
        <v/>
      </c>
      <c r="S276">
        <f>IF(Datos!A276="","",(L276/SUM(L$2:L$301))*LN(L276/SUM(L$2:L$301)))</f>
        <v/>
      </c>
      <c r="T276">
        <f>IF(Datos!A276="","",(M276/SUM(M$2:M$301))*LN(M276/SUM(M$2:M$301)))</f>
        <v/>
      </c>
      <c r="U276">
        <f>IF(Datos!A276="","",(N276/SUM(N$2:N$301))*LN(N276/SUM(N$2:N$301)))</f>
        <v/>
      </c>
      <c r="V276">
        <f>IF(Datos!A276="","",(O276/SUM(O$2:O$301))*LN(O276/SUM(O$2:O$301)))</f>
        <v/>
      </c>
      <c r="X276">
        <f>IF(Datos!A276="","",IF(SUMSQ(C$2:C$301)=0,0,C276/SQRT(SUMSQ(C$2:C$301)))*$BE$2)</f>
        <v/>
      </c>
      <c r="Y276">
        <f>IF(Datos!A276="","",IF(SUMSQ(D$2:D$301)=0,0,D276/SQRT(SUMSQ(D$2:D$301)))*$BE$3)</f>
        <v/>
      </c>
      <c r="Z276">
        <f>IF(Datos!A276="","",IF(SUMSQ(E$2:E$301)=0,0,E276/SQRT(SUMSQ(E$2:E$301)))*$BE$4)</f>
        <v/>
      </c>
      <c r="AA276">
        <f>IF(Datos!A276="","",IF(SUMSQ(F$2:F$301)=0,0,F276/SQRT(SUMSQ(F$2:F$301)))*$BE$5)</f>
        <v/>
      </c>
      <c r="AB276">
        <f>IF(Datos!A276="","",IF(SUMSQ(G$2:G$301)=0,0,G276/SQRT(SUMSQ(G$2:G$301)))*$BE$6)</f>
        <v/>
      </c>
      <c r="AC276">
        <f>IF(Datos!A276="","",IF(SUMSQ(H$2:H$301)=0,0,H276/SQRT(SUMSQ(H$2:H$301)))*$BE$7)</f>
        <v/>
      </c>
      <c r="AE276">
        <f>IF(Datos!A276="","",SQRT(SUMXMY2(X276:AC276,$X$303:$AC$303)))</f>
        <v/>
      </c>
      <c r="AF276">
        <f>IF(Datos!A276="","",SQRT(SUMXMY2(X276:AC276,$X$304:$AC$304)))</f>
        <v/>
      </c>
      <c r="AG276" s="11">
        <f>IF(Datos!A276="","",IF(AE276+AF276&lt;0.000000001,0.5,AF276/(AE276+AF276)))</f>
        <v/>
      </c>
      <c r="AH276">
        <f>IF(Datos!A276="","",AG276*MAX(C276*D276,1))</f>
        <v/>
      </c>
      <c r="AI276">
        <f>IF(Datos!A276="","",SUMIF($AH$2:$AH$301,"&gt;="&amp;AH276,$AH$2:$AH$301)/SUM($AH$2:$AH$301))</f>
        <v/>
      </c>
      <c r="AJ276" s="12">
        <f>IF(Datos!A276="","",IF(AI276&lt;=Parametros!$B$13,"A",IF(AI276&lt;=Parametros!$B$14,"B","C")))</f>
        <v/>
      </c>
      <c r="AK276" s="13">
        <f>IF(Datos!A276="","",VLOOKUP(AJ276,Parametros!$A$8:$C$10,2,FALSE))</f>
        <v/>
      </c>
      <c r="AL276">
        <f>IF(Datos!A276="","",VLOOKUP(AJ276,Parametros!$A$8:$C$10,3,FALSE))</f>
        <v/>
      </c>
      <c r="AM276">
        <f>IF(Datos!A276="","",NORMSINV(AK276))</f>
        <v/>
      </c>
      <c r="AN276">
        <f>IF(Datos!A276="","",D276/Parametros!$B$4)</f>
        <v/>
      </c>
      <c r="AO276">
        <f>IF(Datos!A276="","",MAX(0,ROUNDUP(AM276*(AN276*Parametros!$B$3)*SQRT((AL276+E276)),0)))</f>
        <v/>
      </c>
      <c r="AP276">
        <f>IF(Datos!A276="","",MAX(1,ROUNDUP(AN276*(AL276+E276)+AM276*(AN276*Parametros!$B$3)*SQRT((AL276+E276)),0)))</f>
        <v/>
      </c>
      <c r="AQ276">
        <f>IF(Datos!A276="","",IF(Datos!J276="","",Datos!J276))</f>
        <v/>
      </c>
      <c r="AR276">
        <f>IF(OR(Datos!A276="",AQ276=""),"",MAX(0,AQ276-AP276))</f>
        <v/>
      </c>
      <c r="AS276" s="10">
        <f>IF(OR(Datos!A276="",AQ276=""),"",AR276*C276)</f>
        <v/>
      </c>
      <c r="AT276" s="12">
        <f>IF(OR(Datos!A276="",AQ276=""),"",IF(AQ276&lt;AO276,"SI",""))</f>
        <v/>
      </c>
      <c r="AU276">
        <f>IF(Datos!A276="","",IF(AT276="SI","Reponer ahora",IF(AND(AQ276&lt;&gt;"",AR276&gt;0),"Bajar "&amp;TEXT(AR276,"#,##0")&amp;" un.","En rango")))</f>
        <v/>
      </c>
    </row>
    <row r="277">
      <c r="A277">
        <f>IF(Datos!A277="","",Datos!A277)</f>
        <v/>
      </c>
      <c r="B277">
        <f>IF(Datos!A277="","",Datos!B277)</f>
        <v/>
      </c>
      <c r="C277">
        <f>IF(Datos!A277="","",IFERROR(MAX(0,N(Datos!D277)),0))</f>
        <v/>
      </c>
      <c r="D277">
        <f>IF(Datos!A277="","",IFERROR(MAX(0,N(Datos!E277)),0))</f>
        <v/>
      </c>
      <c r="E277">
        <f>IF(Datos!A277="","",IFERROR(MAX(0,N(Datos!F277)),0))</f>
        <v/>
      </c>
      <c r="F277">
        <f>IF(Datos!A277="","",IFERROR(MAX(0,N(Datos!G277)),0))</f>
        <v/>
      </c>
      <c r="G277">
        <f>IF(Datos!A277="","",IFERROR(MAX(0,N(Datos!H277)),0))</f>
        <v/>
      </c>
      <c r="H277">
        <f>IF(Datos!A277="","",IFERROR(MAX(0,N(Datos!I277)),0))</f>
        <v/>
      </c>
      <c r="J277">
        <f>IF(Datos!A277="","",IF(MAX(C$2:C$301)-MIN(C$2:C$301)&lt;0.000000001,0.5,(C277-MIN(C$2:C$301))/(MAX(C$2:C$301)-MIN(C$2:C$301)))+0.000000001)</f>
        <v/>
      </c>
      <c r="K277">
        <f>IF(Datos!A277="","",IF(MAX(D$2:D$301)-MIN(D$2:D$301)&lt;0.000000001,0.5,(D277-MIN(D$2:D$301))/(MAX(D$2:D$301)-MIN(D$2:D$301)))+0.000000001)</f>
        <v/>
      </c>
      <c r="L277">
        <f>IF(Datos!A277="","",IF(MAX(E$2:E$301)-MIN(E$2:E$301)&lt;0.000000001,0.5,(E277-MIN(E$2:E$301))/(MAX(E$2:E$301)-MIN(E$2:E$301)))+0.000000001)</f>
        <v/>
      </c>
      <c r="M277">
        <f>IF(Datos!A277="","",IF(MAX(F$2:F$301)-MIN(F$2:F$301)&lt;0.000000001,0.5,(F277-MIN(F$2:F$301))/(MAX(F$2:F$301)-MIN(F$2:F$301)))+0.000000001)</f>
        <v/>
      </c>
      <c r="N277">
        <f>IF(Datos!A277="","",IF(MAX(G$2:G$301)-MIN(G$2:G$301)&lt;0.000000001,0.5,(G277-MIN(G$2:G$301))/(MAX(G$2:G$301)-MIN(G$2:G$301)))+0.000000001)</f>
        <v/>
      </c>
      <c r="O277">
        <f>IF(Datos!A277="","",IF(MAX(H$2:H$301)-MIN(H$2:H$301)&lt;0.000000001,0.5,(H277-MIN(H$2:H$301))/(MAX(H$2:H$301)-MIN(H$2:H$301)))+0.000000001)</f>
        <v/>
      </c>
      <c r="Q277">
        <f>IF(Datos!A277="","",(J277/SUM(J$2:J$301))*LN(J277/SUM(J$2:J$301)))</f>
        <v/>
      </c>
      <c r="R277">
        <f>IF(Datos!A277="","",(K277/SUM(K$2:K$301))*LN(K277/SUM(K$2:K$301)))</f>
        <v/>
      </c>
      <c r="S277">
        <f>IF(Datos!A277="","",(L277/SUM(L$2:L$301))*LN(L277/SUM(L$2:L$301)))</f>
        <v/>
      </c>
      <c r="T277">
        <f>IF(Datos!A277="","",(M277/SUM(M$2:M$301))*LN(M277/SUM(M$2:M$301)))</f>
        <v/>
      </c>
      <c r="U277">
        <f>IF(Datos!A277="","",(N277/SUM(N$2:N$301))*LN(N277/SUM(N$2:N$301)))</f>
        <v/>
      </c>
      <c r="V277">
        <f>IF(Datos!A277="","",(O277/SUM(O$2:O$301))*LN(O277/SUM(O$2:O$301)))</f>
        <v/>
      </c>
      <c r="X277">
        <f>IF(Datos!A277="","",IF(SUMSQ(C$2:C$301)=0,0,C277/SQRT(SUMSQ(C$2:C$301)))*$BE$2)</f>
        <v/>
      </c>
      <c r="Y277">
        <f>IF(Datos!A277="","",IF(SUMSQ(D$2:D$301)=0,0,D277/SQRT(SUMSQ(D$2:D$301)))*$BE$3)</f>
        <v/>
      </c>
      <c r="Z277">
        <f>IF(Datos!A277="","",IF(SUMSQ(E$2:E$301)=0,0,E277/SQRT(SUMSQ(E$2:E$301)))*$BE$4)</f>
        <v/>
      </c>
      <c r="AA277">
        <f>IF(Datos!A277="","",IF(SUMSQ(F$2:F$301)=0,0,F277/SQRT(SUMSQ(F$2:F$301)))*$BE$5)</f>
        <v/>
      </c>
      <c r="AB277">
        <f>IF(Datos!A277="","",IF(SUMSQ(G$2:G$301)=0,0,G277/SQRT(SUMSQ(G$2:G$301)))*$BE$6)</f>
        <v/>
      </c>
      <c r="AC277">
        <f>IF(Datos!A277="","",IF(SUMSQ(H$2:H$301)=0,0,H277/SQRT(SUMSQ(H$2:H$301)))*$BE$7)</f>
        <v/>
      </c>
      <c r="AE277">
        <f>IF(Datos!A277="","",SQRT(SUMXMY2(X277:AC277,$X$303:$AC$303)))</f>
        <v/>
      </c>
      <c r="AF277">
        <f>IF(Datos!A277="","",SQRT(SUMXMY2(X277:AC277,$X$304:$AC$304)))</f>
        <v/>
      </c>
      <c r="AG277" s="11">
        <f>IF(Datos!A277="","",IF(AE277+AF277&lt;0.000000001,0.5,AF277/(AE277+AF277)))</f>
        <v/>
      </c>
      <c r="AH277">
        <f>IF(Datos!A277="","",AG277*MAX(C277*D277,1))</f>
        <v/>
      </c>
      <c r="AI277">
        <f>IF(Datos!A277="","",SUMIF($AH$2:$AH$301,"&gt;="&amp;AH277,$AH$2:$AH$301)/SUM($AH$2:$AH$301))</f>
        <v/>
      </c>
      <c r="AJ277" s="12">
        <f>IF(Datos!A277="","",IF(AI277&lt;=Parametros!$B$13,"A",IF(AI277&lt;=Parametros!$B$14,"B","C")))</f>
        <v/>
      </c>
      <c r="AK277" s="13">
        <f>IF(Datos!A277="","",VLOOKUP(AJ277,Parametros!$A$8:$C$10,2,FALSE))</f>
        <v/>
      </c>
      <c r="AL277">
        <f>IF(Datos!A277="","",VLOOKUP(AJ277,Parametros!$A$8:$C$10,3,FALSE))</f>
        <v/>
      </c>
      <c r="AM277">
        <f>IF(Datos!A277="","",NORMSINV(AK277))</f>
        <v/>
      </c>
      <c r="AN277">
        <f>IF(Datos!A277="","",D277/Parametros!$B$4)</f>
        <v/>
      </c>
      <c r="AO277">
        <f>IF(Datos!A277="","",MAX(0,ROUNDUP(AM277*(AN277*Parametros!$B$3)*SQRT((AL277+E277)),0)))</f>
        <v/>
      </c>
      <c r="AP277">
        <f>IF(Datos!A277="","",MAX(1,ROUNDUP(AN277*(AL277+E277)+AM277*(AN277*Parametros!$B$3)*SQRT((AL277+E277)),0)))</f>
        <v/>
      </c>
      <c r="AQ277">
        <f>IF(Datos!A277="","",IF(Datos!J277="","",Datos!J277))</f>
        <v/>
      </c>
      <c r="AR277">
        <f>IF(OR(Datos!A277="",AQ277=""),"",MAX(0,AQ277-AP277))</f>
        <v/>
      </c>
      <c r="AS277" s="10">
        <f>IF(OR(Datos!A277="",AQ277=""),"",AR277*C277)</f>
        <v/>
      </c>
      <c r="AT277" s="12">
        <f>IF(OR(Datos!A277="",AQ277=""),"",IF(AQ277&lt;AO277,"SI",""))</f>
        <v/>
      </c>
      <c r="AU277">
        <f>IF(Datos!A277="","",IF(AT277="SI","Reponer ahora",IF(AND(AQ277&lt;&gt;"",AR277&gt;0),"Bajar "&amp;TEXT(AR277,"#,##0")&amp;" un.","En rango")))</f>
        <v/>
      </c>
    </row>
    <row r="278">
      <c r="A278">
        <f>IF(Datos!A278="","",Datos!A278)</f>
        <v/>
      </c>
      <c r="B278">
        <f>IF(Datos!A278="","",Datos!B278)</f>
        <v/>
      </c>
      <c r="C278">
        <f>IF(Datos!A278="","",IFERROR(MAX(0,N(Datos!D278)),0))</f>
        <v/>
      </c>
      <c r="D278">
        <f>IF(Datos!A278="","",IFERROR(MAX(0,N(Datos!E278)),0))</f>
        <v/>
      </c>
      <c r="E278">
        <f>IF(Datos!A278="","",IFERROR(MAX(0,N(Datos!F278)),0))</f>
        <v/>
      </c>
      <c r="F278">
        <f>IF(Datos!A278="","",IFERROR(MAX(0,N(Datos!G278)),0))</f>
        <v/>
      </c>
      <c r="G278">
        <f>IF(Datos!A278="","",IFERROR(MAX(0,N(Datos!H278)),0))</f>
        <v/>
      </c>
      <c r="H278">
        <f>IF(Datos!A278="","",IFERROR(MAX(0,N(Datos!I278)),0))</f>
        <v/>
      </c>
      <c r="J278">
        <f>IF(Datos!A278="","",IF(MAX(C$2:C$301)-MIN(C$2:C$301)&lt;0.000000001,0.5,(C278-MIN(C$2:C$301))/(MAX(C$2:C$301)-MIN(C$2:C$301)))+0.000000001)</f>
        <v/>
      </c>
      <c r="K278">
        <f>IF(Datos!A278="","",IF(MAX(D$2:D$301)-MIN(D$2:D$301)&lt;0.000000001,0.5,(D278-MIN(D$2:D$301))/(MAX(D$2:D$301)-MIN(D$2:D$301)))+0.000000001)</f>
        <v/>
      </c>
      <c r="L278">
        <f>IF(Datos!A278="","",IF(MAX(E$2:E$301)-MIN(E$2:E$301)&lt;0.000000001,0.5,(E278-MIN(E$2:E$301))/(MAX(E$2:E$301)-MIN(E$2:E$301)))+0.000000001)</f>
        <v/>
      </c>
      <c r="M278">
        <f>IF(Datos!A278="","",IF(MAX(F$2:F$301)-MIN(F$2:F$301)&lt;0.000000001,0.5,(F278-MIN(F$2:F$301))/(MAX(F$2:F$301)-MIN(F$2:F$301)))+0.000000001)</f>
        <v/>
      </c>
      <c r="N278">
        <f>IF(Datos!A278="","",IF(MAX(G$2:G$301)-MIN(G$2:G$301)&lt;0.000000001,0.5,(G278-MIN(G$2:G$301))/(MAX(G$2:G$301)-MIN(G$2:G$301)))+0.000000001)</f>
        <v/>
      </c>
      <c r="O278">
        <f>IF(Datos!A278="","",IF(MAX(H$2:H$301)-MIN(H$2:H$301)&lt;0.000000001,0.5,(H278-MIN(H$2:H$301))/(MAX(H$2:H$301)-MIN(H$2:H$301)))+0.000000001)</f>
        <v/>
      </c>
      <c r="Q278">
        <f>IF(Datos!A278="","",(J278/SUM(J$2:J$301))*LN(J278/SUM(J$2:J$301)))</f>
        <v/>
      </c>
      <c r="R278">
        <f>IF(Datos!A278="","",(K278/SUM(K$2:K$301))*LN(K278/SUM(K$2:K$301)))</f>
        <v/>
      </c>
      <c r="S278">
        <f>IF(Datos!A278="","",(L278/SUM(L$2:L$301))*LN(L278/SUM(L$2:L$301)))</f>
        <v/>
      </c>
      <c r="T278">
        <f>IF(Datos!A278="","",(M278/SUM(M$2:M$301))*LN(M278/SUM(M$2:M$301)))</f>
        <v/>
      </c>
      <c r="U278">
        <f>IF(Datos!A278="","",(N278/SUM(N$2:N$301))*LN(N278/SUM(N$2:N$301)))</f>
        <v/>
      </c>
      <c r="V278">
        <f>IF(Datos!A278="","",(O278/SUM(O$2:O$301))*LN(O278/SUM(O$2:O$301)))</f>
        <v/>
      </c>
      <c r="X278">
        <f>IF(Datos!A278="","",IF(SUMSQ(C$2:C$301)=0,0,C278/SQRT(SUMSQ(C$2:C$301)))*$BE$2)</f>
        <v/>
      </c>
      <c r="Y278">
        <f>IF(Datos!A278="","",IF(SUMSQ(D$2:D$301)=0,0,D278/SQRT(SUMSQ(D$2:D$301)))*$BE$3)</f>
        <v/>
      </c>
      <c r="Z278">
        <f>IF(Datos!A278="","",IF(SUMSQ(E$2:E$301)=0,0,E278/SQRT(SUMSQ(E$2:E$301)))*$BE$4)</f>
        <v/>
      </c>
      <c r="AA278">
        <f>IF(Datos!A278="","",IF(SUMSQ(F$2:F$301)=0,0,F278/SQRT(SUMSQ(F$2:F$301)))*$BE$5)</f>
        <v/>
      </c>
      <c r="AB278">
        <f>IF(Datos!A278="","",IF(SUMSQ(G$2:G$301)=0,0,G278/SQRT(SUMSQ(G$2:G$301)))*$BE$6)</f>
        <v/>
      </c>
      <c r="AC278">
        <f>IF(Datos!A278="","",IF(SUMSQ(H$2:H$301)=0,0,H278/SQRT(SUMSQ(H$2:H$301)))*$BE$7)</f>
        <v/>
      </c>
      <c r="AE278">
        <f>IF(Datos!A278="","",SQRT(SUMXMY2(X278:AC278,$X$303:$AC$303)))</f>
        <v/>
      </c>
      <c r="AF278">
        <f>IF(Datos!A278="","",SQRT(SUMXMY2(X278:AC278,$X$304:$AC$304)))</f>
        <v/>
      </c>
      <c r="AG278" s="11">
        <f>IF(Datos!A278="","",IF(AE278+AF278&lt;0.000000001,0.5,AF278/(AE278+AF278)))</f>
        <v/>
      </c>
      <c r="AH278">
        <f>IF(Datos!A278="","",AG278*MAX(C278*D278,1))</f>
        <v/>
      </c>
      <c r="AI278">
        <f>IF(Datos!A278="","",SUMIF($AH$2:$AH$301,"&gt;="&amp;AH278,$AH$2:$AH$301)/SUM($AH$2:$AH$301))</f>
        <v/>
      </c>
      <c r="AJ278" s="12">
        <f>IF(Datos!A278="","",IF(AI278&lt;=Parametros!$B$13,"A",IF(AI278&lt;=Parametros!$B$14,"B","C")))</f>
        <v/>
      </c>
      <c r="AK278" s="13">
        <f>IF(Datos!A278="","",VLOOKUP(AJ278,Parametros!$A$8:$C$10,2,FALSE))</f>
        <v/>
      </c>
      <c r="AL278">
        <f>IF(Datos!A278="","",VLOOKUP(AJ278,Parametros!$A$8:$C$10,3,FALSE))</f>
        <v/>
      </c>
      <c r="AM278">
        <f>IF(Datos!A278="","",NORMSINV(AK278))</f>
        <v/>
      </c>
      <c r="AN278">
        <f>IF(Datos!A278="","",D278/Parametros!$B$4)</f>
        <v/>
      </c>
      <c r="AO278">
        <f>IF(Datos!A278="","",MAX(0,ROUNDUP(AM278*(AN278*Parametros!$B$3)*SQRT((AL278+E278)),0)))</f>
        <v/>
      </c>
      <c r="AP278">
        <f>IF(Datos!A278="","",MAX(1,ROUNDUP(AN278*(AL278+E278)+AM278*(AN278*Parametros!$B$3)*SQRT((AL278+E278)),0)))</f>
        <v/>
      </c>
      <c r="AQ278">
        <f>IF(Datos!A278="","",IF(Datos!J278="","",Datos!J278))</f>
        <v/>
      </c>
      <c r="AR278">
        <f>IF(OR(Datos!A278="",AQ278=""),"",MAX(0,AQ278-AP278))</f>
        <v/>
      </c>
      <c r="AS278" s="10">
        <f>IF(OR(Datos!A278="",AQ278=""),"",AR278*C278)</f>
        <v/>
      </c>
      <c r="AT278" s="12">
        <f>IF(OR(Datos!A278="",AQ278=""),"",IF(AQ278&lt;AO278,"SI",""))</f>
        <v/>
      </c>
      <c r="AU278">
        <f>IF(Datos!A278="","",IF(AT278="SI","Reponer ahora",IF(AND(AQ278&lt;&gt;"",AR278&gt;0),"Bajar "&amp;TEXT(AR278,"#,##0")&amp;" un.","En rango")))</f>
        <v/>
      </c>
    </row>
    <row r="279">
      <c r="A279">
        <f>IF(Datos!A279="","",Datos!A279)</f>
        <v/>
      </c>
      <c r="B279">
        <f>IF(Datos!A279="","",Datos!B279)</f>
        <v/>
      </c>
      <c r="C279">
        <f>IF(Datos!A279="","",IFERROR(MAX(0,N(Datos!D279)),0))</f>
        <v/>
      </c>
      <c r="D279">
        <f>IF(Datos!A279="","",IFERROR(MAX(0,N(Datos!E279)),0))</f>
        <v/>
      </c>
      <c r="E279">
        <f>IF(Datos!A279="","",IFERROR(MAX(0,N(Datos!F279)),0))</f>
        <v/>
      </c>
      <c r="F279">
        <f>IF(Datos!A279="","",IFERROR(MAX(0,N(Datos!G279)),0))</f>
        <v/>
      </c>
      <c r="G279">
        <f>IF(Datos!A279="","",IFERROR(MAX(0,N(Datos!H279)),0))</f>
        <v/>
      </c>
      <c r="H279">
        <f>IF(Datos!A279="","",IFERROR(MAX(0,N(Datos!I279)),0))</f>
        <v/>
      </c>
      <c r="J279">
        <f>IF(Datos!A279="","",IF(MAX(C$2:C$301)-MIN(C$2:C$301)&lt;0.000000001,0.5,(C279-MIN(C$2:C$301))/(MAX(C$2:C$301)-MIN(C$2:C$301)))+0.000000001)</f>
        <v/>
      </c>
      <c r="K279">
        <f>IF(Datos!A279="","",IF(MAX(D$2:D$301)-MIN(D$2:D$301)&lt;0.000000001,0.5,(D279-MIN(D$2:D$301))/(MAX(D$2:D$301)-MIN(D$2:D$301)))+0.000000001)</f>
        <v/>
      </c>
      <c r="L279">
        <f>IF(Datos!A279="","",IF(MAX(E$2:E$301)-MIN(E$2:E$301)&lt;0.000000001,0.5,(E279-MIN(E$2:E$301))/(MAX(E$2:E$301)-MIN(E$2:E$301)))+0.000000001)</f>
        <v/>
      </c>
      <c r="M279">
        <f>IF(Datos!A279="","",IF(MAX(F$2:F$301)-MIN(F$2:F$301)&lt;0.000000001,0.5,(F279-MIN(F$2:F$301))/(MAX(F$2:F$301)-MIN(F$2:F$301)))+0.000000001)</f>
        <v/>
      </c>
      <c r="N279">
        <f>IF(Datos!A279="","",IF(MAX(G$2:G$301)-MIN(G$2:G$301)&lt;0.000000001,0.5,(G279-MIN(G$2:G$301))/(MAX(G$2:G$301)-MIN(G$2:G$301)))+0.000000001)</f>
        <v/>
      </c>
      <c r="O279">
        <f>IF(Datos!A279="","",IF(MAX(H$2:H$301)-MIN(H$2:H$301)&lt;0.000000001,0.5,(H279-MIN(H$2:H$301))/(MAX(H$2:H$301)-MIN(H$2:H$301)))+0.000000001)</f>
        <v/>
      </c>
      <c r="Q279">
        <f>IF(Datos!A279="","",(J279/SUM(J$2:J$301))*LN(J279/SUM(J$2:J$301)))</f>
        <v/>
      </c>
      <c r="R279">
        <f>IF(Datos!A279="","",(K279/SUM(K$2:K$301))*LN(K279/SUM(K$2:K$301)))</f>
        <v/>
      </c>
      <c r="S279">
        <f>IF(Datos!A279="","",(L279/SUM(L$2:L$301))*LN(L279/SUM(L$2:L$301)))</f>
        <v/>
      </c>
      <c r="T279">
        <f>IF(Datos!A279="","",(M279/SUM(M$2:M$301))*LN(M279/SUM(M$2:M$301)))</f>
        <v/>
      </c>
      <c r="U279">
        <f>IF(Datos!A279="","",(N279/SUM(N$2:N$301))*LN(N279/SUM(N$2:N$301)))</f>
        <v/>
      </c>
      <c r="V279">
        <f>IF(Datos!A279="","",(O279/SUM(O$2:O$301))*LN(O279/SUM(O$2:O$301)))</f>
        <v/>
      </c>
      <c r="X279">
        <f>IF(Datos!A279="","",IF(SUMSQ(C$2:C$301)=0,0,C279/SQRT(SUMSQ(C$2:C$301)))*$BE$2)</f>
        <v/>
      </c>
      <c r="Y279">
        <f>IF(Datos!A279="","",IF(SUMSQ(D$2:D$301)=0,0,D279/SQRT(SUMSQ(D$2:D$301)))*$BE$3)</f>
        <v/>
      </c>
      <c r="Z279">
        <f>IF(Datos!A279="","",IF(SUMSQ(E$2:E$301)=0,0,E279/SQRT(SUMSQ(E$2:E$301)))*$BE$4)</f>
        <v/>
      </c>
      <c r="AA279">
        <f>IF(Datos!A279="","",IF(SUMSQ(F$2:F$301)=0,0,F279/SQRT(SUMSQ(F$2:F$301)))*$BE$5)</f>
        <v/>
      </c>
      <c r="AB279">
        <f>IF(Datos!A279="","",IF(SUMSQ(G$2:G$301)=0,0,G279/SQRT(SUMSQ(G$2:G$301)))*$BE$6)</f>
        <v/>
      </c>
      <c r="AC279">
        <f>IF(Datos!A279="","",IF(SUMSQ(H$2:H$301)=0,0,H279/SQRT(SUMSQ(H$2:H$301)))*$BE$7)</f>
        <v/>
      </c>
      <c r="AE279">
        <f>IF(Datos!A279="","",SQRT(SUMXMY2(X279:AC279,$X$303:$AC$303)))</f>
        <v/>
      </c>
      <c r="AF279">
        <f>IF(Datos!A279="","",SQRT(SUMXMY2(X279:AC279,$X$304:$AC$304)))</f>
        <v/>
      </c>
      <c r="AG279" s="11">
        <f>IF(Datos!A279="","",IF(AE279+AF279&lt;0.000000001,0.5,AF279/(AE279+AF279)))</f>
        <v/>
      </c>
      <c r="AH279">
        <f>IF(Datos!A279="","",AG279*MAX(C279*D279,1))</f>
        <v/>
      </c>
      <c r="AI279">
        <f>IF(Datos!A279="","",SUMIF($AH$2:$AH$301,"&gt;="&amp;AH279,$AH$2:$AH$301)/SUM($AH$2:$AH$301))</f>
        <v/>
      </c>
      <c r="AJ279" s="12">
        <f>IF(Datos!A279="","",IF(AI279&lt;=Parametros!$B$13,"A",IF(AI279&lt;=Parametros!$B$14,"B","C")))</f>
        <v/>
      </c>
      <c r="AK279" s="13">
        <f>IF(Datos!A279="","",VLOOKUP(AJ279,Parametros!$A$8:$C$10,2,FALSE))</f>
        <v/>
      </c>
      <c r="AL279">
        <f>IF(Datos!A279="","",VLOOKUP(AJ279,Parametros!$A$8:$C$10,3,FALSE))</f>
        <v/>
      </c>
      <c r="AM279">
        <f>IF(Datos!A279="","",NORMSINV(AK279))</f>
        <v/>
      </c>
      <c r="AN279">
        <f>IF(Datos!A279="","",D279/Parametros!$B$4)</f>
        <v/>
      </c>
      <c r="AO279">
        <f>IF(Datos!A279="","",MAX(0,ROUNDUP(AM279*(AN279*Parametros!$B$3)*SQRT((AL279+E279)),0)))</f>
        <v/>
      </c>
      <c r="AP279">
        <f>IF(Datos!A279="","",MAX(1,ROUNDUP(AN279*(AL279+E279)+AM279*(AN279*Parametros!$B$3)*SQRT((AL279+E279)),0)))</f>
        <v/>
      </c>
      <c r="AQ279">
        <f>IF(Datos!A279="","",IF(Datos!J279="","",Datos!J279))</f>
        <v/>
      </c>
      <c r="AR279">
        <f>IF(OR(Datos!A279="",AQ279=""),"",MAX(0,AQ279-AP279))</f>
        <v/>
      </c>
      <c r="AS279" s="10">
        <f>IF(OR(Datos!A279="",AQ279=""),"",AR279*C279)</f>
        <v/>
      </c>
      <c r="AT279" s="12">
        <f>IF(OR(Datos!A279="",AQ279=""),"",IF(AQ279&lt;AO279,"SI",""))</f>
        <v/>
      </c>
      <c r="AU279">
        <f>IF(Datos!A279="","",IF(AT279="SI","Reponer ahora",IF(AND(AQ279&lt;&gt;"",AR279&gt;0),"Bajar "&amp;TEXT(AR279,"#,##0")&amp;" un.","En rango")))</f>
        <v/>
      </c>
    </row>
    <row r="280">
      <c r="A280">
        <f>IF(Datos!A280="","",Datos!A280)</f>
        <v/>
      </c>
      <c r="B280">
        <f>IF(Datos!A280="","",Datos!B280)</f>
        <v/>
      </c>
      <c r="C280">
        <f>IF(Datos!A280="","",IFERROR(MAX(0,N(Datos!D280)),0))</f>
        <v/>
      </c>
      <c r="D280">
        <f>IF(Datos!A280="","",IFERROR(MAX(0,N(Datos!E280)),0))</f>
        <v/>
      </c>
      <c r="E280">
        <f>IF(Datos!A280="","",IFERROR(MAX(0,N(Datos!F280)),0))</f>
        <v/>
      </c>
      <c r="F280">
        <f>IF(Datos!A280="","",IFERROR(MAX(0,N(Datos!G280)),0))</f>
        <v/>
      </c>
      <c r="G280">
        <f>IF(Datos!A280="","",IFERROR(MAX(0,N(Datos!H280)),0))</f>
        <v/>
      </c>
      <c r="H280">
        <f>IF(Datos!A280="","",IFERROR(MAX(0,N(Datos!I280)),0))</f>
        <v/>
      </c>
      <c r="J280">
        <f>IF(Datos!A280="","",IF(MAX(C$2:C$301)-MIN(C$2:C$301)&lt;0.000000001,0.5,(C280-MIN(C$2:C$301))/(MAX(C$2:C$301)-MIN(C$2:C$301)))+0.000000001)</f>
        <v/>
      </c>
      <c r="K280">
        <f>IF(Datos!A280="","",IF(MAX(D$2:D$301)-MIN(D$2:D$301)&lt;0.000000001,0.5,(D280-MIN(D$2:D$301))/(MAX(D$2:D$301)-MIN(D$2:D$301)))+0.000000001)</f>
        <v/>
      </c>
      <c r="L280">
        <f>IF(Datos!A280="","",IF(MAX(E$2:E$301)-MIN(E$2:E$301)&lt;0.000000001,0.5,(E280-MIN(E$2:E$301))/(MAX(E$2:E$301)-MIN(E$2:E$301)))+0.000000001)</f>
        <v/>
      </c>
      <c r="M280">
        <f>IF(Datos!A280="","",IF(MAX(F$2:F$301)-MIN(F$2:F$301)&lt;0.000000001,0.5,(F280-MIN(F$2:F$301))/(MAX(F$2:F$301)-MIN(F$2:F$301)))+0.000000001)</f>
        <v/>
      </c>
      <c r="N280">
        <f>IF(Datos!A280="","",IF(MAX(G$2:G$301)-MIN(G$2:G$301)&lt;0.000000001,0.5,(G280-MIN(G$2:G$301))/(MAX(G$2:G$301)-MIN(G$2:G$301)))+0.000000001)</f>
        <v/>
      </c>
      <c r="O280">
        <f>IF(Datos!A280="","",IF(MAX(H$2:H$301)-MIN(H$2:H$301)&lt;0.000000001,0.5,(H280-MIN(H$2:H$301))/(MAX(H$2:H$301)-MIN(H$2:H$301)))+0.000000001)</f>
        <v/>
      </c>
      <c r="Q280">
        <f>IF(Datos!A280="","",(J280/SUM(J$2:J$301))*LN(J280/SUM(J$2:J$301)))</f>
        <v/>
      </c>
      <c r="R280">
        <f>IF(Datos!A280="","",(K280/SUM(K$2:K$301))*LN(K280/SUM(K$2:K$301)))</f>
        <v/>
      </c>
      <c r="S280">
        <f>IF(Datos!A280="","",(L280/SUM(L$2:L$301))*LN(L280/SUM(L$2:L$301)))</f>
        <v/>
      </c>
      <c r="T280">
        <f>IF(Datos!A280="","",(M280/SUM(M$2:M$301))*LN(M280/SUM(M$2:M$301)))</f>
        <v/>
      </c>
      <c r="U280">
        <f>IF(Datos!A280="","",(N280/SUM(N$2:N$301))*LN(N280/SUM(N$2:N$301)))</f>
        <v/>
      </c>
      <c r="V280">
        <f>IF(Datos!A280="","",(O280/SUM(O$2:O$301))*LN(O280/SUM(O$2:O$301)))</f>
        <v/>
      </c>
      <c r="X280">
        <f>IF(Datos!A280="","",IF(SUMSQ(C$2:C$301)=0,0,C280/SQRT(SUMSQ(C$2:C$301)))*$BE$2)</f>
        <v/>
      </c>
      <c r="Y280">
        <f>IF(Datos!A280="","",IF(SUMSQ(D$2:D$301)=0,0,D280/SQRT(SUMSQ(D$2:D$301)))*$BE$3)</f>
        <v/>
      </c>
      <c r="Z280">
        <f>IF(Datos!A280="","",IF(SUMSQ(E$2:E$301)=0,0,E280/SQRT(SUMSQ(E$2:E$301)))*$BE$4)</f>
        <v/>
      </c>
      <c r="AA280">
        <f>IF(Datos!A280="","",IF(SUMSQ(F$2:F$301)=0,0,F280/SQRT(SUMSQ(F$2:F$301)))*$BE$5)</f>
        <v/>
      </c>
      <c r="AB280">
        <f>IF(Datos!A280="","",IF(SUMSQ(G$2:G$301)=0,0,G280/SQRT(SUMSQ(G$2:G$301)))*$BE$6)</f>
        <v/>
      </c>
      <c r="AC280">
        <f>IF(Datos!A280="","",IF(SUMSQ(H$2:H$301)=0,0,H280/SQRT(SUMSQ(H$2:H$301)))*$BE$7)</f>
        <v/>
      </c>
      <c r="AE280">
        <f>IF(Datos!A280="","",SQRT(SUMXMY2(X280:AC280,$X$303:$AC$303)))</f>
        <v/>
      </c>
      <c r="AF280">
        <f>IF(Datos!A280="","",SQRT(SUMXMY2(X280:AC280,$X$304:$AC$304)))</f>
        <v/>
      </c>
      <c r="AG280" s="11">
        <f>IF(Datos!A280="","",IF(AE280+AF280&lt;0.000000001,0.5,AF280/(AE280+AF280)))</f>
        <v/>
      </c>
      <c r="AH280">
        <f>IF(Datos!A280="","",AG280*MAX(C280*D280,1))</f>
        <v/>
      </c>
      <c r="AI280">
        <f>IF(Datos!A280="","",SUMIF($AH$2:$AH$301,"&gt;="&amp;AH280,$AH$2:$AH$301)/SUM($AH$2:$AH$301))</f>
        <v/>
      </c>
      <c r="AJ280" s="12">
        <f>IF(Datos!A280="","",IF(AI280&lt;=Parametros!$B$13,"A",IF(AI280&lt;=Parametros!$B$14,"B","C")))</f>
        <v/>
      </c>
      <c r="AK280" s="13">
        <f>IF(Datos!A280="","",VLOOKUP(AJ280,Parametros!$A$8:$C$10,2,FALSE))</f>
        <v/>
      </c>
      <c r="AL280">
        <f>IF(Datos!A280="","",VLOOKUP(AJ280,Parametros!$A$8:$C$10,3,FALSE))</f>
        <v/>
      </c>
      <c r="AM280">
        <f>IF(Datos!A280="","",NORMSINV(AK280))</f>
        <v/>
      </c>
      <c r="AN280">
        <f>IF(Datos!A280="","",D280/Parametros!$B$4)</f>
        <v/>
      </c>
      <c r="AO280">
        <f>IF(Datos!A280="","",MAX(0,ROUNDUP(AM280*(AN280*Parametros!$B$3)*SQRT((AL280+E280)),0)))</f>
        <v/>
      </c>
      <c r="AP280">
        <f>IF(Datos!A280="","",MAX(1,ROUNDUP(AN280*(AL280+E280)+AM280*(AN280*Parametros!$B$3)*SQRT((AL280+E280)),0)))</f>
        <v/>
      </c>
      <c r="AQ280">
        <f>IF(Datos!A280="","",IF(Datos!J280="","",Datos!J280))</f>
        <v/>
      </c>
      <c r="AR280">
        <f>IF(OR(Datos!A280="",AQ280=""),"",MAX(0,AQ280-AP280))</f>
        <v/>
      </c>
      <c r="AS280" s="10">
        <f>IF(OR(Datos!A280="",AQ280=""),"",AR280*C280)</f>
        <v/>
      </c>
      <c r="AT280" s="12">
        <f>IF(OR(Datos!A280="",AQ280=""),"",IF(AQ280&lt;AO280,"SI",""))</f>
        <v/>
      </c>
      <c r="AU280">
        <f>IF(Datos!A280="","",IF(AT280="SI","Reponer ahora",IF(AND(AQ280&lt;&gt;"",AR280&gt;0),"Bajar "&amp;TEXT(AR280,"#,##0")&amp;" un.","En rango")))</f>
        <v/>
      </c>
    </row>
    <row r="281">
      <c r="A281">
        <f>IF(Datos!A281="","",Datos!A281)</f>
        <v/>
      </c>
      <c r="B281">
        <f>IF(Datos!A281="","",Datos!B281)</f>
        <v/>
      </c>
      <c r="C281">
        <f>IF(Datos!A281="","",IFERROR(MAX(0,N(Datos!D281)),0))</f>
        <v/>
      </c>
      <c r="D281">
        <f>IF(Datos!A281="","",IFERROR(MAX(0,N(Datos!E281)),0))</f>
        <v/>
      </c>
      <c r="E281">
        <f>IF(Datos!A281="","",IFERROR(MAX(0,N(Datos!F281)),0))</f>
        <v/>
      </c>
      <c r="F281">
        <f>IF(Datos!A281="","",IFERROR(MAX(0,N(Datos!G281)),0))</f>
        <v/>
      </c>
      <c r="G281">
        <f>IF(Datos!A281="","",IFERROR(MAX(0,N(Datos!H281)),0))</f>
        <v/>
      </c>
      <c r="H281">
        <f>IF(Datos!A281="","",IFERROR(MAX(0,N(Datos!I281)),0))</f>
        <v/>
      </c>
      <c r="J281">
        <f>IF(Datos!A281="","",IF(MAX(C$2:C$301)-MIN(C$2:C$301)&lt;0.000000001,0.5,(C281-MIN(C$2:C$301))/(MAX(C$2:C$301)-MIN(C$2:C$301)))+0.000000001)</f>
        <v/>
      </c>
      <c r="K281">
        <f>IF(Datos!A281="","",IF(MAX(D$2:D$301)-MIN(D$2:D$301)&lt;0.000000001,0.5,(D281-MIN(D$2:D$301))/(MAX(D$2:D$301)-MIN(D$2:D$301)))+0.000000001)</f>
        <v/>
      </c>
      <c r="L281">
        <f>IF(Datos!A281="","",IF(MAX(E$2:E$301)-MIN(E$2:E$301)&lt;0.000000001,0.5,(E281-MIN(E$2:E$301))/(MAX(E$2:E$301)-MIN(E$2:E$301)))+0.000000001)</f>
        <v/>
      </c>
      <c r="M281">
        <f>IF(Datos!A281="","",IF(MAX(F$2:F$301)-MIN(F$2:F$301)&lt;0.000000001,0.5,(F281-MIN(F$2:F$301))/(MAX(F$2:F$301)-MIN(F$2:F$301)))+0.000000001)</f>
        <v/>
      </c>
      <c r="N281">
        <f>IF(Datos!A281="","",IF(MAX(G$2:G$301)-MIN(G$2:G$301)&lt;0.000000001,0.5,(G281-MIN(G$2:G$301))/(MAX(G$2:G$301)-MIN(G$2:G$301)))+0.000000001)</f>
        <v/>
      </c>
      <c r="O281">
        <f>IF(Datos!A281="","",IF(MAX(H$2:H$301)-MIN(H$2:H$301)&lt;0.000000001,0.5,(H281-MIN(H$2:H$301))/(MAX(H$2:H$301)-MIN(H$2:H$301)))+0.000000001)</f>
        <v/>
      </c>
      <c r="Q281">
        <f>IF(Datos!A281="","",(J281/SUM(J$2:J$301))*LN(J281/SUM(J$2:J$301)))</f>
        <v/>
      </c>
      <c r="R281">
        <f>IF(Datos!A281="","",(K281/SUM(K$2:K$301))*LN(K281/SUM(K$2:K$301)))</f>
        <v/>
      </c>
      <c r="S281">
        <f>IF(Datos!A281="","",(L281/SUM(L$2:L$301))*LN(L281/SUM(L$2:L$301)))</f>
        <v/>
      </c>
      <c r="T281">
        <f>IF(Datos!A281="","",(M281/SUM(M$2:M$301))*LN(M281/SUM(M$2:M$301)))</f>
        <v/>
      </c>
      <c r="U281">
        <f>IF(Datos!A281="","",(N281/SUM(N$2:N$301))*LN(N281/SUM(N$2:N$301)))</f>
        <v/>
      </c>
      <c r="V281">
        <f>IF(Datos!A281="","",(O281/SUM(O$2:O$301))*LN(O281/SUM(O$2:O$301)))</f>
        <v/>
      </c>
      <c r="X281">
        <f>IF(Datos!A281="","",IF(SUMSQ(C$2:C$301)=0,0,C281/SQRT(SUMSQ(C$2:C$301)))*$BE$2)</f>
        <v/>
      </c>
      <c r="Y281">
        <f>IF(Datos!A281="","",IF(SUMSQ(D$2:D$301)=0,0,D281/SQRT(SUMSQ(D$2:D$301)))*$BE$3)</f>
        <v/>
      </c>
      <c r="Z281">
        <f>IF(Datos!A281="","",IF(SUMSQ(E$2:E$301)=0,0,E281/SQRT(SUMSQ(E$2:E$301)))*$BE$4)</f>
        <v/>
      </c>
      <c r="AA281">
        <f>IF(Datos!A281="","",IF(SUMSQ(F$2:F$301)=0,0,F281/SQRT(SUMSQ(F$2:F$301)))*$BE$5)</f>
        <v/>
      </c>
      <c r="AB281">
        <f>IF(Datos!A281="","",IF(SUMSQ(G$2:G$301)=0,0,G281/SQRT(SUMSQ(G$2:G$301)))*$BE$6)</f>
        <v/>
      </c>
      <c r="AC281">
        <f>IF(Datos!A281="","",IF(SUMSQ(H$2:H$301)=0,0,H281/SQRT(SUMSQ(H$2:H$301)))*$BE$7)</f>
        <v/>
      </c>
      <c r="AE281">
        <f>IF(Datos!A281="","",SQRT(SUMXMY2(X281:AC281,$X$303:$AC$303)))</f>
        <v/>
      </c>
      <c r="AF281">
        <f>IF(Datos!A281="","",SQRT(SUMXMY2(X281:AC281,$X$304:$AC$304)))</f>
        <v/>
      </c>
      <c r="AG281" s="11">
        <f>IF(Datos!A281="","",IF(AE281+AF281&lt;0.000000001,0.5,AF281/(AE281+AF281)))</f>
        <v/>
      </c>
      <c r="AH281">
        <f>IF(Datos!A281="","",AG281*MAX(C281*D281,1))</f>
        <v/>
      </c>
      <c r="AI281">
        <f>IF(Datos!A281="","",SUMIF($AH$2:$AH$301,"&gt;="&amp;AH281,$AH$2:$AH$301)/SUM($AH$2:$AH$301))</f>
        <v/>
      </c>
      <c r="AJ281" s="12">
        <f>IF(Datos!A281="","",IF(AI281&lt;=Parametros!$B$13,"A",IF(AI281&lt;=Parametros!$B$14,"B","C")))</f>
        <v/>
      </c>
      <c r="AK281" s="13">
        <f>IF(Datos!A281="","",VLOOKUP(AJ281,Parametros!$A$8:$C$10,2,FALSE))</f>
        <v/>
      </c>
      <c r="AL281">
        <f>IF(Datos!A281="","",VLOOKUP(AJ281,Parametros!$A$8:$C$10,3,FALSE))</f>
        <v/>
      </c>
      <c r="AM281">
        <f>IF(Datos!A281="","",NORMSINV(AK281))</f>
        <v/>
      </c>
      <c r="AN281">
        <f>IF(Datos!A281="","",D281/Parametros!$B$4)</f>
        <v/>
      </c>
      <c r="AO281">
        <f>IF(Datos!A281="","",MAX(0,ROUNDUP(AM281*(AN281*Parametros!$B$3)*SQRT((AL281+E281)),0)))</f>
        <v/>
      </c>
      <c r="AP281">
        <f>IF(Datos!A281="","",MAX(1,ROUNDUP(AN281*(AL281+E281)+AM281*(AN281*Parametros!$B$3)*SQRT((AL281+E281)),0)))</f>
        <v/>
      </c>
      <c r="AQ281">
        <f>IF(Datos!A281="","",IF(Datos!J281="","",Datos!J281))</f>
        <v/>
      </c>
      <c r="AR281">
        <f>IF(OR(Datos!A281="",AQ281=""),"",MAX(0,AQ281-AP281))</f>
        <v/>
      </c>
      <c r="AS281" s="10">
        <f>IF(OR(Datos!A281="",AQ281=""),"",AR281*C281)</f>
        <v/>
      </c>
      <c r="AT281" s="12">
        <f>IF(OR(Datos!A281="",AQ281=""),"",IF(AQ281&lt;AO281,"SI",""))</f>
        <v/>
      </c>
      <c r="AU281">
        <f>IF(Datos!A281="","",IF(AT281="SI","Reponer ahora",IF(AND(AQ281&lt;&gt;"",AR281&gt;0),"Bajar "&amp;TEXT(AR281,"#,##0")&amp;" un.","En rango")))</f>
        <v/>
      </c>
    </row>
    <row r="282">
      <c r="A282">
        <f>IF(Datos!A282="","",Datos!A282)</f>
        <v/>
      </c>
      <c r="B282">
        <f>IF(Datos!A282="","",Datos!B282)</f>
        <v/>
      </c>
      <c r="C282">
        <f>IF(Datos!A282="","",IFERROR(MAX(0,N(Datos!D282)),0))</f>
        <v/>
      </c>
      <c r="D282">
        <f>IF(Datos!A282="","",IFERROR(MAX(0,N(Datos!E282)),0))</f>
        <v/>
      </c>
      <c r="E282">
        <f>IF(Datos!A282="","",IFERROR(MAX(0,N(Datos!F282)),0))</f>
        <v/>
      </c>
      <c r="F282">
        <f>IF(Datos!A282="","",IFERROR(MAX(0,N(Datos!G282)),0))</f>
        <v/>
      </c>
      <c r="G282">
        <f>IF(Datos!A282="","",IFERROR(MAX(0,N(Datos!H282)),0))</f>
        <v/>
      </c>
      <c r="H282">
        <f>IF(Datos!A282="","",IFERROR(MAX(0,N(Datos!I282)),0))</f>
        <v/>
      </c>
      <c r="J282">
        <f>IF(Datos!A282="","",IF(MAX(C$2:C$301)-MIN(C$2:C$301)&lt;0.000000001,0.5,(C282-MIN(C$2:C$301))/(MAX(C$2:C$301)-MIN(C$2:C$301)))+0.000000001)</f>
        <v/>
      </c>
      <c r="K282">
        <f>IF(Datos!A282="","",IF(MAX(D$2:D$301)-MIN(D$2:D$301)&lt;0.000000001,0.5,(D282-MIN(D$2:D$301))/(MAX(D$2:D$301)-MIN(D$2:D$301)))+0.000000001)</f>
        <v/>
      </c>
      <c r="L282">
        <f>IF(Datos!A282="","",IF(MAX(E$2:E$301)-MIN(E$2:E$301)&lt;0.000000001,0.5,(E282-MIN(E$2:E$301))/(MAX(E$2:E$301)-MIN(E$2:E$301)))+0.000000001)</f>
        <v/>
      </c>
      <c r="M282">
        <f>IF(Datos!A282="","",IF(MAX(F$2:F$301)-MIN(F$2:F$301)&lt;0.000000001,0.5,(F282-MIN(F$2:F$301))/(MAX(F$2:F$301)-MIN(F$2:F$301)))+0.000000001)</f>
        <v/>
      </c>
      <c r="N282">
        <f>IF(Datos!A282="","",IF(MAX(G$2:G$301)-MIN(G$2:G$301)&lt;0.000000001,0.5,(G282-MIN(G$2:G$301))/(MAX(G$2:G$301)-MIN(G$2:G$301)))+0.000000001)</f>
        <v/>
      </c>
      <c r="O282">
        <f>IF(Datos!A282="","",IF(MAX(H$2:H$301)-MIN(H$2:H$301)&lt;0.000000001,0.5,(H282-MIN(H$2:H$301))/(MAX(H$2:H$301)-MIN(H$2:H$301)))+0.000000001)</f>
        <v/>
      </c>
      <c r="Q282">
        <f>IF(Datos!A282="","",(J282/SUM(J$2:J$301))*LN(J282/SUM(J$2:J$301)))</f>
        <v/>
      </c>
      <c r="R282">
        <f>IF(Datos!A282="","",(K282/SUM(K$2:K$301))*LN(K282/SUM(K$2:K$301)))</f>
        <v/>
      </c>
      <c r="S282">
        <f>IF(Datos!A282="","",(L282/SUM(L$2:L$301))*LN(L282/SUM(L$2:L$301)))</f>
        <v/>
      </c>
      <c r="T282">
        <f>IF(Datos!A282="","",(M282/SUM(M$2:M$301))*LN(M282/SUM(M$2:M$301)))</f>
        <v/>
      </c>
      <c r="U282">
        <f>IF(Datos!A282="","",(N282/SUM(N$2:N$301))*LN(N282/SUM(N$2:N$301)))</f>
        <v/>
      </c>
      <c r="V282">
        <f>IF(Datos!A282="","",(O282/SUM(O$2:O$301))*LN(O282/SUM(O$2:O$301)))</f>
        <v/>
      </c>
      <c r="X282">
        <f>IF(Datos!A282="","",IF(SUMSQ(C$2:C$301)=0,0,C282/SQRT(SUMSQ(C$2:C$301)))*$BE$2)</f>
        <v/>
      </c>
      <c r="Y282">
        <f>IF(Datos!A282="","",IF(SUMSQ(D$2:D$301)=0,0,D282/SQRT(SUMSQ(D$2:D$301)))*$BE$3)</f>
        <v/>
      </c>
      <c r="Z282">
        <f>IF(Datos!A282="","",IF(SUMSQ(E$2:E$301)=0,0,E282/SQRT(SUMSQ(E$2:E$301)))*$BE$4)</f>
        <v/>
      </c>
      <c r="AA282">
        <f>IF(Datos!A282="","",IF(SUMSQ(F$2:F$301)=0,0,F282/SQRT(SUMSQ(F$2:F$301)))*$BE$5)</f>
        <v/>
      </c>
      <c r="AB282">
        <f>IF(Datos!A282="","",IF(SUMSQ(G$2:G$301)=0,0,G282/SQRT(SUMSQ(G$2:G$301)))*$BE$6)</f>
        <v/>
      </c>
      <c r="AC282">
        <f>IF(Datos!A282="","",IF(SUMSQ(H$2:H$301)=0,0,H282/SQRT(SUMSQ(H$2:H$301)))*$BE$7)</f>
        <v/>
      </c>
      <c r="AE282">
        <f>IF(Datos!A282="","",SQRT(SUMXMY2(X282:AC282,$X$303:$AC$303)))</f>
        <v/>
      </c>
      <c r="AF282">
        <f>IF(Datos!A282="","",SQRT(SUMXMY2(X282:AC282,$X$304:$AC$304)))</f>
        <v/>
      </c>
      <c r="AG282" s="11">
        <f>IF(Datos!A282="","",IF(AE282+AF282&lt;0.000000001,0.5,AF282/(AE282+AF282)))</f>
        <v/>
      </c>
      <c r="AH282">
        <f>IF(Datos!A282="","",AG282*MAX(C282*D282,1))</f>
        <v/>
      </c>
      <c r="AI282">
        <f>IF(Datos!A282="","",SUMIF($AH$2:$AH$301,"&gt;="&amp;AH282,$AH$2:$AH$301)/SUM($AH$2:$AH$301))</f>
        <v/>
      </c>
      <c r="AJ282" s="12">
        <f>IF(Datos!A282="","",IF(AI282&lt;=Parametros!$B$13,"A",IF(AI282&lt;=Parametros!$B$14,"B","C")))</f>
        <v/>
      </c>
      <c r="AK282" s="13">
        <f>IF(Datos!A282="","",VLOOKUP(AJ282,Parametros!$A$8:$C$10,2,FALSE))</f>
        <v/>
      </c>
      <c r="AL282">
        <f>IF(Datos!A282="","",VLOOKUP(AJ282,Parametros!$A$8:$C$10,3,FALSE))</f>
        <v/>
      </c>
      <c r="AM282">
        <f>IF(Datos!A282="","",NORMSINV(AK282))</f>
        <v/>
      </c>
      <c r="AN282">
        <f>IF(Datos!A282="","",D282/Parametros!$B$4)</f>
        <v/>
      </c>
      <c r="AO282">
        <f>IF(Datos!A282="","",MAX(0,ROUNDUP(AM282*(AN282*Parametros!$B$3)*SQRT((AL282+E282)),0)))</f>
        <v/>
      </c>
      <c r="AP282">
        <f>IF(Datos!A282="","",MAX(1,ROUNDUP(AN282*(AL282+E282)+AM282*(AN282*Parametros!$B$3)*SQRT((AL282+E282)),0)))</f>
        <v/>
      </c>
      <c r="AQ282">
        <f>IF(Datos!A282="","",IF(Datos!J282="","",Datos!J282))</f>
        <v/>
      </c>
      <c r="AR282">
        <f>IF(OR(Datos!A282="",AQ282=""),"",MAX(0,AQ282-AP282))</f>
        <v/>
      </c>
      <c r="AS282" s="10">
        <f>IF(OR(Datos!A282="",AQ282=""),"",AR282*C282)</f>
        <v/>
      </c>
      <c r="AT282" s="12">
        <f>IF(OR(Datos!A282="",AQ282=""),"",IF(AQ282&lt;AO282,"SI",""))</f>
        <v/>
      </c>
      <c r="AU282">
        <f>IF(Datos!A282="","",IF(AT282="SI","Reponer ahora",IF(AND(AQ282&lt;&gt;"",AR282&gt;0),"Bajar "&amp;TEXT(AR282,"#,##0")&amp;" un.","En rango")))</f>
        <v/>
      </c>
    </row>
    <row r="283">
      <c r="A283">
        <f>IF(Datos!A283="","",Datos!A283)</f>
        <v/>
      </c>
      <c r="B283">
        <f>IF(Datos!A283="","",Datos!B283)</f>
        <v/>
      </c>
      <c r="C283">
        <f>IF(Datos!A283="","",IFERROR(MAX(0,N(Datos!D283)),0))</f>
        <v/>
      </c>
      <c r="D283">
        <f>IF(Datos!A283="","",IFERROR(MAX(0,N(Datos!E283)),0))</f>
        <v/>
      </c>
      <c r="E283">
        <f>IF(Datos!A283="","",IFERROR(MAX(0,N(Datos!F283)),0))</f>
        <v/>
      </c>
      <c r="F283">
        <f>IF(Datos!A283="","",IFERROR(MAX(0,N(Datos!G283)),0))</f>
        <v/>
      </c>
      <c r="G283">
        <f>IF(Datos!A283="","",IFERROR(MAX(0,N(Datos!H283)),0))</f>
        <v/>
      </c>
      <c r="H283">
        <f>IF(Datos!A283="","",IFERROR(MAX(0,N(Datos!I283)),0))</f>
        <v/>
      </c>
      <c r="J283">
        <f>IF(Datos!A283="","",IF(MAX(C$2:C$301)-MIN(C$2:C$301)&lt;0.000000001,0.5,(C283-MIN(C$2:C$301))/(MAX(C$2:C$301)-MIN(C$2:C$301)))+0.000000001)</f>
        <v/>
      </c>
      <c r="K283">
        <f>IF(Datos!A283="","",IF(MAX(D$2:D$301)-MIN(D$2:D$301)&lt;0.000000001,0.5,(D283-MIN(D$2:D$301))/(MAX(D$2:D$301)-MIN(D$2:D$301)))+0.000000001)</f>
        <v/>
      </c>
      <c r="L283">
        <f>IF(Datos!A283="","",IF(MAX(E$2:E$301)-MIN(E$2:E$301)&lt;0.000000001,0.5,(E283-MIN(E$2:E$301))/(MAX(E$2:E$301)-MIN(E$2:E$301)))+0.000000001)</f>
        <v/>
      </c>
      <c r="M283">
        <f>IF(Datos!A283="","",IF(MAX(F$2:F$301)-MIN(F$2:F$301)&lt;0.000000001,0.5,(F283-MIN(F$2:F$301))/(MAX(F$2:F$301)-MIN(F$2:F$301)))+0.000000001)</f>
        <v/>
      </c>
      <c r="N283">
        <f>IF(Datos!A283="","",IF(MAX(G$2:G$301)-MIN(G$2:G$301)&lt;0.000000001,0.5,(G283-MIN(G$2:G$301))/(MAX(G$2:G$301)-MIN(G$2:G$301)))+0.000000001)</f>
        <v/>
      </c>
      <c r="O283">
        <f>IF(Datos!A283="","",IF(MAX(H$2:H$301)-MIN(H$2:H$301)&lt;0.000000001,0.5,(H283-MIN(H$2:H$301))/(MAX(H$2:H$301)-MIN(H$2:H$301)))+0.000000001)</f>
        <v/>
      </c>
      <c r="Q283">
        <f>IF(Datos!A283="","",(J283/SUM(J$2:J$301))*LN(J283/SUM(J$2:J$301)))</f>
        <v/>
      </c>
      <c r="R283">
        <f>IF(Datos!A283="","",(K283/SUM(K$2:K$301))*LN(K283/SUM(K$2:K$301)))</f>
        <v/>
      </c>
      <c r="S283">
        <f>IF(Datos!A283="","",(L283/SUM(L$2:L$301))*LN(L283/SUM(L$2:L$301)))</f>
        <v/>
      </c>
      <c r="T283">
        <f>IF(Datos!A283="","",(M283/SUM(M$2:M$301))*LN(M283/SUM(M$2:M$301)))</f>
        <v/>
      </c>
      <c r="U283">
        <f>IF(Datos!A283="","",(N283/SUM(N$2:N$301))*LN(N283/SUM(N$2:N$301)))</f>
        <v/>
      </c>
      <c r="V283">
        <f>IF(Datos!A283="","",(O283/SUM(O$2:O$301))*LN(O283/SUM(O$2:O$301)))</f>
        <v/>
      </c>
      <c r="X283">
        <f>IF(Datos!A283="","",IF(SUMSQ(C$2:C$301)=0,0,C283/SQRT(SUMSQ(C$2:C$301)))*$BE$2)</f>
        <v/>
      </c>
      <c r="Y283">
        <f>IF(Datos!A283="","",IF(SUMSQ(D$2:D$301)=0,0,D283/SQRT(SUMSQ(D$2:D$301)))*$BE$3)</f>
        <v/>
      </c>
      <c r="Z283">
        <f>IF(Datos!A283="","",IF(SUMSQ(E$2:E$301)=0,0,E283/SQRT(SUMSQ(E$2:E$301)))*$BE$4)</f>
        <v/>
      </c>
      <c r="AA283">
        <f>IF(Datos!A283="","",IF(SUMSQ(F$2:F$301)=0,0,F283/SQRT(SUMSQ(F$2:F$301)))*$BE$5)</f>
        <v/>
      </c>
      <c r="AB283">
        <f>IF(Datos!A283="","",IF(SUMSQ(G$2:G$301)=0,0,G283/SQRT(SUMSQ(G$2:G$301)))*$BE$6)</f>
        <v/>
      </c>
      <c r="AC283">
        <f>IF(Datos!A283="","",IF(SUMSQ(H$2:H$301)=0,0,H283/SQRT(SUMSQ(H$2:H$301)))*$BE$7)</f>
        <v/>
      </c>
      <c r="AE283">
        <f>IF(Datos!A283="","",SQRT(SUMXMY2(X283:AC283,$X$303:$AC$303)))</f>
        <v/>
      </c>
      <c r="AF283">
        <f>IF(Datos!A283="","",SQRT(SUMXMY2(X283:AC283,$X$304:$AC$304)))</f>
        <v/>
      </c>
      <c r="AG283" s="11">
        <f>IF(Datos!A283="","",IF(AE283+AF283&lt;0.000000001,0.5,AF283/(AE283+AF283)))</f>
        <v/>
      </c>
      <c r="AH283">
        <f>IF(Datos!A283="","",AG283*MAX(C283*D283,1))</f>
        <v/>
      </c>
      <c r="AI283">
        <f>IF(Datos!A283="","",SUMIF($AH$2:$AH$301,"&gt;="&amp;AH283,$AH$2:$AH$301)/SUM($AH$2:$AH$301))</f>
        <v/>
      </c>
      <c r="AJ283" s="12">
        <f>IF(Datos!A283="","",IF(AI283&lt;=Parametros!$B$13,"A",IF(AI283&lt;=Parametros!$B$14,"B","C")))</f>
        <v/>
      </c>
      <c r="AK283" s="13">
        <f>IF(Datos!A283="","",VLOOKUP(AJ283,Parametros!$A$8:$C$10,2,FALSE))</f>
        <v/>
      </c>
      <c r="AL283">
        <f>IF(Datos!A283="","",VLOOKUP(AJ283,Parametros!$A$8:$C$10,3,FALSE))</f>
        <v/>
      </c>
      <c r="AM283">
        <f>IF(Datos!A283="","",NORMSINV(AK283))</f>
        <v/>
      </c>
      <c r="AN283">
        <f>IF(Datos!A283="","",D283/Parametros!$B$4)</f>
        <v/>
      </c>
      <c r="AO283">
        <f>IF(Datos!A283="","",MAX(0,ROUNDUP(AM283*(AN283*Parametros!$B$3)*SQRT((AL283+E283)),0)))</f>
        <v/>
      </c>
      <c r="AP283">
        <f>IF(Datos!A283="","",MAX(1,ROUNDUP(AN283*(AL283+E283)+AM283*(AN283*Parametros!$B$3)*SQRT((AL283+E283)),0)))</f>
        <v/>
      </c>
      <c r="AQ283">
        <f>IF(Datos!A283="","",IF(Datos!J283="","",Datos!J283))</f>
        <v/>
      </c>
      <c r="AR283">
        <f>IF(OR(Datos!A283="",AQ283=""),"",MAX(0,AQ283-AP283))</f>
        <v/>
      </c>
      <c r="AS283" s="10">
        <f>IF(OR(Datos!A283="",AQ283=""),"",AR283*C283)</f>
        <v/>
      </c>
      <c r="AT283" s="12">
        <f>IF(OR(Datos!A283="",AQ283=""),"",IF(AQ283&lt;AO283,"SI",""))</f>
        <v/>
      </c>
      <c r="AU283">
        <f>IF(Datos!A283="","",IF(AT283="SI","Reponer ahora",IF(AND(AQ283&lt;&gt;"",AR283&gt;0),"Bajar "&amp;TEXT(AR283,"#,##0")&amp;" un.","En rango")))</f>
        <v/>
      </c>
    </row>
    <row r="284">
      <c r="A284">
        <f>IF(Datos!A284="","",Datos!A284)</f>
        <v/>
      </c>
      <c r="B284">
        <f>IF(Datos!A284="","",Datos!B284)</f>
        <v/>
      </c>
      <c r="C284">
        <f>IF(Datos!A284="","",IFERROR(MAX(0,N(Datos!D284)),0))</f>
        <v/>
      </c>
      <c r="D284">
        <f>IF(Datos!A284="","",IFERROR(MAX(0,N(Datos!E284)),0))</f>
        <v/>
      </c>
      <c r="E284">
        <f>IF(Datos!A284="","",IFERROR(MAX(0,N(Datos!F284)),0))</f>
        <v/>
      </c>
      <c r="F284">
        <f>IF(Datos!A284="","",IFERROR(MAX(0,N(Datos!G284)),0))</f>
        <v/>
      </c>
      <c r="G284">
        <f>IF(Datos!A284="","",IFERROR(MAX(0,N(Datos!H284)),0))</f>
        <v/>
      </c>
      <c r="H284">
        <f>IF(Datos!A284="","",IFERROR(MAX(0,N(Datos!I284)),0))</f>
        <v/>
      </c>
      <c r="J284">
        <f>IF(Datos!A284="","",IF(MAX(C$2:C$301)-MIN(C$2:C$301)&lt;0.000000001,0.5,(C284-MIN(C$2:C$301))/(MAX(C$2:C$301)-MIN(C$2:C$301)))+0.000000001)</f>
        <v/>
      </c>
      <c r="K284">
        <f>IF(Datos!A284="","",IF(MAX(D$2:D$301)-MIN(D$2:D$301)&lt;0.000000001,0.5,(D284-MIN(D$2:D$301))/(MAX(D$2:D$301)-MIN(D$2:D$301)))+0.000000001)</f>
        <v/>
      </c>
      <c r="L284">
        <f>IF(Datos!A284="","",IF(MAX(E$2:E$301)-MIN(E$2:E$301)&lt;0.000000001,0.5,(E284-MIN(E$2:E$301))/(MAX(E$2:E$301)-MIN(E$2:E$301)))+0.000000001)</f>
        <v/>
      </c>
      <c r="M284">
        <f>IF(Datos!A284="","",IF(MAX(F$2:F$301)-MIN(F$2:F$301)&lt;0.000000001,0.5,(F284-MIN(F$2:F$301))/(MAX(F$2:F$301)-MIN(F$2:F$301)))+0.000000001)</f>
        <v/>
      </c>
      <c r="N284">
        <f>IF(Datos!A284="","",IF(MAX(G$2:G$301)-MIN(G$2:G$301)&lt;0.000000001,0.5,(G284-MIN(G$2:G$301))/(MAX(G$2:G$301)-MIN(G$2:G$301)))+0.000000001)</f>
        <v/>
      </c>
      <c r="O284">
        <f>IF(Datos!A284="","",IF(MAX(H$2:H$301)-MIN(H$2:H$301)&lt;0.000000001,0.5,(H284-MIN(H$2:H$301))/(MAX(H$2:H$301)-MIN(H$2:H$301)))+0.000000001)</f>
        <v/>
      </c>
      <c r="Q284">
        <f>IF(Datos!A284="","",(J284/SUM(J$2:J$301))*LN(J284/SUM(J$2:J$301)))</f>
        <v/>
      </c>
      <c r="R284">
        <f>IF(Datos!A284="","",(K284/SUM(K$2:K$301))*LN(K284/SUM(K$2:K$301)))</f>
        <v/>
      </c>
      <c r="S284">
        <f>IF(Datos!A284="","",(L284/SUM(L$2:L$301))*LN(L284/SUM(L$2:L$301)))</f>
        <v/>
      </c>
      <c r="T284">
        <f>IF(Datos!A284="","",(M284/SUM(M$2:M$301))*LN(M284/SUM(M$2:M$301)))</f>
        <v/>
      </c>
      <c r="U284">
        <f>IF(Datos!A284="","",(N284/SUM(N$2:N$301))*LN(N284/SUM(N$2:N$301)))</f>
        <v/>
      </c>
      <c r="V284">
        <f>IF(Datos!A284="","",(O284/SUM(O$2:O$301))*LN(O284/SUM(O$2:O$301)))</f>
        <v/>
      </c>
      <c r="X284">
        <f>IF(Datos!A284="","",IF(SUMSQ(C$2:C$301)=0,0,C284/SQRT(SUMSQ(C$2:C$301)))*$BE$2)</f>
        <v/>
      </c>
      <c r="Y284">
        <f>IF(Datos!A284="","",IF(SUMSQ(D$2:D$301)=0,0,D284/SQRT(SUMSQ(D$2:D$301)))*$BE$3)</f>
        <v/>
      </c>
      <c r="Z284">
        <f>IF(Datos!A284="","",IF(SUMSQ(E$2:E$301)=0,0,E284/SQRT(SUMSQ(E$2:E$301)))*$BE$4)</f>
        <v/>
      </c>
      <c r="AA284">
        <f>IF(Datos!A284="","",IF(SUMSQ(F$2:F$301)=0,0,F284/SQRT(SUMSQ(F$2:F$301)))*$BE$5)</f>
        <v/>
      </c>
      <c r="AB284">
        <f>IF(Datos!A284="","",IF(SUMSQ(G$2:G$301)=0,0,G284/SQRT(SUMSQ(G$2:G$301)))*$BE$6)</f>
        <v/>
      </c>
      <c r="AC284">
        <f>IF(Datos!A284="","",IF(SUMSQ(H$2:H$301)=0,0,H284/SQRT(SUMSQ(H$2:H$301)))*$BE$7)</f>
        <v/>
      </c>
      <c r="AE284">
        <f>IF(Datos!A284="","",SQRT(SUMXMY2(X284:AC284,$X$303:$AC$303)))</f>
        <v/>
      </c>
      <c r="AF284">
        <f>IF(Datos!A284="","",SQRT(SUMXMY2(X284:AC284,$X$304:$AC$304)))</f>
        <v/>
      </c>
      <c r="AG284" s="11">
        <f>IF(Datos!A284="","",IF(AE284+AF284&lt;0.000000001,0.5,AF284/(AE284+AF284)))</f>
        <v/>
      </c>
      <c r="AH284">
        <f>IF(Datos!A284="","",AG284*MAX(C284*D284,1))</f>
        <v/>
      </c>
      <c r="AI284">
        <f>IF(Datos!A284="","",SUMIF($AH$2:$AH$301,"&gt;="&amp;AH284,$AH$2:$AH$301)/SUM($AH$2:$AH$301))</f>
        <v/>
      </c>
      <c r="AJ284" s="12">
        <f>IF(Datos!A284="","",IF(AI284&lt;=Parametros!$B$13,"A",IF(AI284&lt;=Parametros!$B$14,"B","C")))</f>
        <v/>
      </c>
      <c r="AK284" s="13">
        <f>IF(Datos!A284="","",VLOOKUP(AJ284,Parametros!$A$8:$C$10,2,FALSE))</f>
        <v/>
      </c>
      <c r="AL284">
        <f>IF(Datos!A284="","",VLOOKUP(AJ284,Parametros!$A$8:$C$10,3,FALSE))</f>
        <v/>
      </c>
      <c r="AM284">
        <f>IF(Datos!A284="","",NORMSINV(AK284))</f>
        <v/>
      </c>
      <c r="AN284">
        <f>IF(Datos!A284="","",D284/Parametros!$B$4)</f>
        <v/>
      </c>
      <c r="AO284">
        <f>IF(Datos!A284="","",MAX(0,ROUNDUP(AM284*(AN284*Parametros!$B$3)*SQRT((AL284+E284)),0)))</f>
        <v/>
      </c>
      <c r="AP284">
        <f>IF(Datos!A284="","",MAX(1,ROUNDUP(AN284*(AL284+E284)+AM284*(AN284*Parametros!$B$3)*SQRT((AL284+E284)),0)))</f>
        <v/>
      </c>
      <c r="AQ284">
        <f>IF(Datos!A284="","",IF(Datos!J284="","",Datos!J284))</f>
        <v/>
      </c>
      <c r="AR284">
        <f>IF(OR(Datos!A284="",AQ284=""),"",MAX(0,AQ284-AP284))</f>
        <v/>
      </c>
      <c r="AS284" s="10">
        <f>IF(OR(Datos!A284="",AQ284=""),"",AR284*C284)</f>
        <v/>
      </c>
      <c r="AT284" s="12">
        <f>IF(OR(Datos!A284="",AQ284=""),"",IF(AQ284&lt;AO284,"SI",""))</f>
        <v/>
      </c>
      <c r="AU284">
        <f>IF(Datos!A284="","",IF(AT284="SI","Reponer ahora",IF(AND(AQ284&lt;&gt;"",AR284&gt;0),"Bajar "&amp;TEXT(AR284,"#,##0")&amp;" un.","En rango")))</f>
        <v/>
      </c>
    </row>
    <row r="285">
      <c r="A285">
        <f>IF(Datos!A285="","",Datos!A285)</f>
        <v/>
      </c>
      <c r="B285">
        <f>IF(Datos!A285="","",Datos!B285)</f>
        <v/>
      </c>
      <c r="C285">
        <f>IF(Datos!A285="","",IFERROR(MAX(0,N(Datos!D285)),0))</f>
        <v/>
      </c>
      <c r="D285">
        <f>IF(Datos!A285="","",IFERROR(MAX(0,N(Datos!E285)),0))</f>
        <v/>
      </c>
      <c r="E285">
        <f>IF(Datos!A285="","",IFERROR(MAX(0,N(Datos!F285)),0))</f>
        <v/>
      </c>
      <c r="F285">
        <f>IF(Datos!A285="","",IFERROR(MAX(0,N(Datos!G285)),0))</f>
        <v/>
      </c>
      <c r="G285">
        <f>IF(Datos!A285="","",IFERROR(MAX(0,N(Datos!H285)),0))</f>
        <v/>
      </c>
      <c r="H285">
        <f>IF(Datos!A285="","",IFERROR(MAX(0,N(Datos!I285)),0))</f>
        <v/>
      </c>
      <c r="J285">
        <f>IF(Datos!A285="","",IF(MAX(C$2:C$301)-MIN(C$2:C$301)&lt;0.000000001,0.5,(C285-MIN(C$2:C$301))/(MAX(C$2:C$301)-MIN(C$2:C$301)))+0.000000001)</f>
        <v/>
      </c>
      <c r="K285">
        <f>IF(Datos!A285="","",IF(MAX(D$2:D$301)-MIN(D$2:D$301)&lt;0.000000001,0.5,(D285-MIN(D$2:D$301))/(MAX(D$2:D$301)-MIN(D$2:D$301)))+0.000000001)</f>
        <v/>
      </c>
      <c r="L285">
        <f>IF(Datos!A285="","",IF(MAX(E$2:E$301)-MIN(E$2:E$301)&lt;0.000000001,0.5,(E285-MIN(E$2:E$301))/(MAX(E$2:E$301)-MIN(E$2:E$301)))+0.000000001)</f>
        <v/>
      </c>
      <c r="M285">
        <f>IF(Datos!A285="","",IF(MAX(F$2:F$301)-MIN(F$2:F$301)&lt;0.000000001,0.5,(F285-MIN(F$2:F$301))/(MAX(F$2:F$301)-MIN(F$2:F$301)))+0.000000001)</f>
        <v/>
      </c>
      <c r="N285">
        <f>IF(Datos!A285="","",IF(MAX(G$2:G$301)-MIN(G$2:G$301)&lt;0.000000001,0.5,(G285-MIN(G$2:G$301))/(MAX(G$2:G$301)-MIN(G$2:G$301)))+0.000000001)</f>
        <v/>
      </c>
      <c r="O285">
        <f>IF(Datos!A285="","",IF(MAX(H$2:H$301)-MIN(H$2:H$301)&lt;0.000000001,0.5,(H285-MIN(H$2:H$301))/(MAX(H$2:H$301)-MIN(H$2:H$301)))+0.000000001)</f>
        <v/>
      </c>
      <c r="Q285">
        <f>IF(Datos!A285="","",(J285/SUM(J$2:J$301))*LN(J285/SUM(J$2:J$301)))</f>
        <v/>
      </c>
      <c r="R285">
        <f>IF(Datos!A285="","",(K285/SUM(K$2:K$301))*LN(K285/SUM(K$2:K$301)))</f>
        <v/>
      </c>
      <c r="S285">
        <f>IF(Datos!A285="","",(L285/SUM(L$2:L$301))*LN(L285/SUM(L$2:L$301)))</f>
        <v/>
      </c>
      <c r="T285">
        <f>IF(Datos!A285="","",(M285/SUM(M$2:M$301))*LN(M285/SUM(M$2:M$301)))</f>
        <v/>
      </c>
      <c r="U285">
        <f>IF(Datos!A285="","",(N285/SUM(N$2:N$301))*LN(N285/SUM(N$2:N$301)))</f>
        <v/>
      </c>
      <c r="V285">
        <f>IF(Datos!A285="","",(O285/SUM(O$2:O$301))*LN(O285/SUM(O$2:O$301)))</f>
        <v/>
      </c>
      <c r="X285">
        <f>IF(Datos!A285="","",IF(SUMSQ(C$2:C$301)=0,0,C285/SQRT(SUMSQ(C$2:C$301)))*$BE$2)</f>
        <v/>
      </c>
      <c r="Y285">
        <f>IF(Datos!A285="","",IF(SUMSQ(D$2:D$301)=0,0,D285/SQRT(SUMSQ(D$2:D$301)))*$BE$3)</f>
        <v/>
      </c>
      <c r="Z285">
        <f>IF(Datos!A285="","",IF(SUMSQ(E$2:E$301)=0,0,E285/SQRT(SUMSQ(E$2:E$301)))*$BE$4)</f>
        <v/>
      </c>
      <c r="AA285">
        <f>IF(Datos!A285="","",IF(SUMSQ(F$2:F$301)=0,0,F285/SQRT(SUMSQ(F$2:F$301)))*$BE$5)</f>
        <v/>
      </c>
      <c r="AB285">
        <f>IF(Datos!A285="","",IF(SUMSQ(G$2:G$301)=0,0,G285/SQRT(SUMSQ(G$2:G$301)))*$BE$6)</f>
        <v/>
      </c>
      <c r="AC285">
        <f>IF(Datos!A285="","",IF(SUMSQ(H$2:H$301)=0,0,H285/SQRT(SUMSQ(H$2:H$301)))*$BE$7)</f>
        <v/>
      </c>
      <c r="AE285">
        <f>IF(Datos!A285="","",SQRT(SUMXMY2(X285:AC285,$X$303:$AC$303)))</f>
        <v/>
      </c>
      <c r="AF285">
        <f>IF(Datos!A285="","",SQRT(SUMXMY2(X285:AC285,$X$304:$AC$304)))</f>
        <v/>
      </c>
      <c r="AG285" s="11">
        <f>IF(Datos!A285="","",IF(AE285+AF285&lt;0.000000001,0.5,AF285/(AE285+AF285)))</f>
        <v/>
      </c>
      <c r="AH285">
        <f>IF(Datos!A285="","",AG285*MAX(C285*D285,1))</f>
        <v/>
      </c>
      <c r="AI285">
        <f>IF(Datos!A285="","",SUMIF($AH$2:$AH$301,"&gt;="&amp;AH285,$AH$2:$AH$301)/SUM($AH$2:$AH$301))</f>
        <v/>
      </c>
      <c r="AJ285" s="12">
        <f>IF(Datos!A285="","",IF(AI285&lt;=Parametros!$B$13,"A",IF(AI285&lt;=Parametros!$B$14,"B","C")))</f>
        <v/>
      </c>
      <c r="AK285" s="13">
        <f>IF(Datos!A285="","",VLOOKUP(AJ285,Parametros!$A$8:$C$10,2,FALSE))</f>
        <v/>
      </c>
      <c r="AL285">
        <f>IF(Datos!A285="","",VLOOKUP(AJ285,Parametros!$A$8:$C$10,3,FALSE))</f>
        <v/>
      </c>
      <c r="AM285">
        <f>IF(Datos!A285="","",NORMSINV(AK285))</f>
        <v/>
      </c>
      <c r="AN285">
        <f>IF(Datos!A285="","",D285/Parametros!$B$4)</f>
        <v/>
      </c>
      <c r="AO285">
        <f>IF(Datos!A285="","",MAX(0,ROUNDUP(AM285*(AN285*Parametros!$B$3)*SQRT((AL285+E285)),0)))</f>
        <v/>
      </c>
      <c r="AP285">
        <f>IF(Datos!A285="","",MAX(1,ROUNDUP(AN285*(AL285+E285)+AM285*(AN285*Parametros!$B$3)*SQRT((AL285+E285)),0)))</f>
        <v/>
      </c>
      <c r="AQ285">
        <f>IF(Datos!A285="","",IF(Datos!J285="","",Datos!J285))</f>
        <v/>
      </c>
      <c r="AR285">
        <f>IF(OR(Datos!A285="",AQ285=""),"",MAX(0,AQ285-AP285))</f>
        <v/>
      </c>
      <c r="AS285" s="10">
        <f>IF(OR(Datos!A285="",AQ285=""),"",AR285*C285)</f>
        <v/>
      </c>
      <c r="AT285" s="12">
        <f>IF(OR(Datos!A285="",AQ285=""),"",IF(AQ285&lt;AO285,"SI",""))</f>
        <v/>
      </c>
      <c r="AU285">
        <f>IF(Datos!A285="","",IF(AT285="SI","Reponer ahora",IF(AND(AQ285&lt;&gt;"",AR285&gt;0),"Bajar "&amp;TEXT(AR285,"#,##0")&amp;" un.","En rango")))</f>
        <v/>
      </c>
    </row>
    <row r="286">
      <c r="A286">
        <f>IF(Datos!A286="","",Datos!A286)</f>
        <v/>
      </c>
      <c r="B286">
        <f>IF(Datos!A286="","",Datos!B286)</f>
        <v/>
      </c>
      <c r="C286">
        <f>IF(Datos!A286="","",IFERROR(MAX(0,N(Datos!D286)),0))</f>
        <v/>
      </c>
      <c r="D286">
        <f>IF(Datos!A286="","",IFERROR(MAX(0,N(Datos!E286)),0))</f>
        <v/>
      </c>
      <c r="E286">
        <f>IF(Datos!A286="","",IFERROR(MAX(0,N(Datos!F286)),0))</f>
        <v/>
      </c>
      <c r="F286">
        <f>IF(Datos!A286="","",IFERROR(MAX(0,N(Datos!G286)),0))</f>
        <v/>
      </c>
      <c r="G286">
        <f>IF(Datos!A286="","",IFERROR(MAX(0,N(Datos!H286)),0))</f>
        <v/>
      </c>
      <c r="H286">
        <f>IF(Datos!A286="","",IFERROR(MAX(0,N(Datos!I286)),0))</f>
        <v/>
      </c>
      <c r="J286">
        <f>IF(Datos!A286="","",IF(MAX(C$2:C$301)-MIN(C$2:C$301)&lt;0.000000001,0.5,(C286-MIN(C$2:C$301))/(MAX(C$2:C$301)-MIN(C$2:C$301)))+0.000000001)</f>
        <v/>
      </c>
      <c r="K286">
        <f>IF(Datos!A286="","",IF(MAX(D$2:D$301)-MIN(D$2:D$301)&lt;0.000000001,0.5,(D286-MIN(D$2:D$301))/(MAX(D$2:D$301)-MIN(D$2:D$301)))+0.000000001)</f>
        <v/>
      </c>
      <c r="L286">
        <f>IF(Datos!A286="","",IF(MAX(E$2:E$301)-MIN(E$2:E$301)&lt;0.000000001,0.5,(E286-MIN(E$2:E$301))/(MAX(E$2:E$301)-MIN(E$2:E$301)))+0.000000001)</f>
        <v/>
      </c>
      <c r="M286">
        <f>IF(Datos!A286="","",IF(MAX(F$2:F$301)-MIN(F$2:F$301)&lt;0.000000001,0.5,(F286-MIN(F$2:F$301))/(MAX(F$2:F$301)-MIN(F$2:F$301)))+0.000000001)</f>
        <v/>
      </c>
      <c r="N286">
        <f>IF(Datos!A286="","",IF(MAX(G$2:G$301)-MIN(G$2:G$301)&lt;0.000000001,0.5,(G286-MIN(G$2:G$301))/(MAX(G$2:G$301)-MIN(G$2:G$301)))+0.000000001)</f>
        <v/>
      </c>
      <c r="O286">
        <f>IF(Datos!A286="","",IF(MAX(H$2:H$301)-MIN(H$2:H$301)&lt;0.000000001,0.5,(H286-MIN(H$2:H$301))/(MAX(H$2:H$301)-MIN(H$2:H$301)))+0.000000001)</f>
        <v/>
      </c>
      <c r="Q286">
        <f>IF(Datos!A286="","",(J286/SUM(J$2:J$301))*LN(J286/SUM(J$2:J$301)))</f>
        <v/>
      </c>
      <c r="R286">
        <f>IF(Datos!A286="","",(K286/SUM(K$2:K$301))*LN(K286/SUM(K$2:K$301)))</f>
        <v/>
      </c>
      <c r="S286">
        <f>IF(Datos!A286="","",(L286/SUM(L$2:L$301))*LN(L286/SUM(L$2:L$301)))</f>
        <v/>
      </c>
      <c r="T286">
        <f>IF(Datos!A286="","",(M286/SUM(M$2:M$301))*LN(M286/SUM(M$2:M$301)))</f>
        <v/>
      </c>
      <c r="U286">
        <f>IF(Datos!A286="","",(N286/SUM(N$2:N$301))*LN(N286/SUM(N$2:N$301)))</f>
        <v/>
      </c>
      <c r="V286">
        <f>IF(Datos!A286="","",(O286/SUM(O$2:O$301))*LN(O286/SUM(O$2:O$301)))</f>
        <v/>
      </c>
      <c r="X286">
        <f>IF(Datos!A286="","",IF(SUMSQ(C$2:C$301)=0,0,C286/SQRT(SUMSQ(C$2:C$301)))*$BE$2)</f>
        <v/>
      </c>
      <c r="Y286">
        <f>IF(Datos!A286="","",IF(SUMSQ(D$2:D$301)=0,0,D286/SQRT(SUMSQ(D$2:D$301)))*$BE$3)</f>
        <v/>
      </c>
      <c r="Z286">
        <f>IF(Datos!A286="","",IF(SUMSQ(E$2:E$301)=0,0,E286/SQRT(SUMSQ(E$2:E$301)))*$BE$4)</f>
        <v/>
      </c>
      <c r="AA286">
        <f>IF(Datos!A286="","",IF(SUMSQ(F$2:F$301)=0,0,F286/SQRT(SUMSQ(F$2:F$301)))*$BE$5)</f>
        <v/>
      </c>
      <c r="AB286">
        <f>IF(Datos!A286="","",IF(SUMSQ(G$2:G$301)=0,0,G286/SQRT(SUMSQ(G$2:G$301)))*$BE$6)</f>
        <v/>
      </c>
      <c r="AC286">
        <f>IF(Datos!A286="","",IF(SUMSQ(H$2:H$301)=0,0,H286/SQRT(SUMSQ(H$2:H$301)))*$BE$7)</f>
        <v/>
      </c>
      <c r="AE286">
        <f>IF(Datos!A286="","",SQRT(SUMXMY2(X286:AC286,$X$303:$AC$303)))</f>
        <v/>
      </c>
      <c r="AF286">
        <f>IF(Datos!A286="","",SQRT(SUMXMY2(X286:AC286,$X$304:$AC$304)))</f>
        <v/>
      </c>
      <c r="AG286" s="11">
        <f>IF(Datos!A286="","",IF(AE286+AF286&lt;0.000000001,0.5,AF286/(AE286+AF286)))</f>
        <v/>
      </c>
      <c r="AH286">
        <f>IF(Datos!A286="","",AG286*MAX(C286*D286,1))</f>
        <v/>
      </c>
      <c r="AI286">
        <f>IF(Datos!A286="","",SUMIF($AH$2:$AH$301,"&gt;="&amp;AH286,$AH$2:$AH$301)/SUM($AH$2:$AH$301))</f>
        <v/>
      </c>
      <c r="AJ286" s="12">
        <f>IF(Datos!A286="","",IF(AI286&lt;=Parametros!$B$13,"A",IF(AI286&lt;=Parametros!$B$14,"B","C")))</f>
        <v/>
      </c>
      <c r="AK286" s="13">
        <f>IF(Datos!A286="","",VLOOKUP(AJ286,Parametros!$A$8:$C$10,2,FALSE))</f>
        <v/>
      </c>
      <c r="AL286">
        <f>IF(Datos!A286="","",VLOOKUP(AJ286,Parametros!$A$8:$C$10,3,FALSE))</f>
        <v/>
      </c>
      <c r="AM286">
        <f>IF(Datos!A286="","",NORMSINV(AK286))</f>
        <v/>
      </c>
      <c r="AN286">
        <f>IF(Datos!A286="","",D286/Parametros!$B$4)</f>
        <v/>
      </c>
      <c r="AO286">
        <f>IF(Datos!A286="","",MAX(0,ROUNDUP(AM286*(AN286*Parametros!$B$3)*SQRT((AL286+E286)),0)))</f>
        <v/>
      </c>
      <c r="AP286">
        <f>IF(Datos!A286="","",MAX(1,ROUNDUP(AN286*(AL286+E286)+AM286*(AN286*Parametros!$B$3)*SQRT((AL286+E286)),0)))</f>
        <v/>
      </c>
      <c r="AQ286">
        <f>IF(Datos!A286="","",IF(Datos!J286="","",Datos!J286))</f>
        <v/>
      </c>
      <c r="AR286">
        <f>IF(OR(Datos!A286="",AQ286=""),"",MAX(0,AQ286-AP286))</f>
        <v/>
      </c>
      <c r="AS286" s="10">
        <f>IF(OR(Datos!A286="",AQ286=""),"",AR286*C286)</f>
        <v/>
      </c>
      <c r="AT286" s="12">
        <f>IF(OR(Datos!A286="",AQ286=""),"",IF(AQ286&lt;AO286,"SI",""))</f>
        <v/>
      </c>
      <c r="AU286">
        <f>IF(Datos!A286="","",IF(AT286="SI","Reponer ahora",IF(AND(AQ286&lt;&gt;"",AR286&gt;0),"Bajar "&amp;TEXT(AR286,"#,##0")&amp;" un.","En rango")))</f>
        <v/>
      </c>
    </row>
    <row r="287">
      <c r="A287">
        <f>IF(Datos!A287="","",Datos!A287)</f>
        <v/>
      </c>
      <c r="B287">
        <f>IF(Datos!A287="","",Datos!B287)</f>
        <v/>
      </c>
      <c r="C287">
        <f>IF(Datos!A287="","",IFERROR(MAX(0,N(Datos!D287)),0))</f>
        <v/>
      </c>
      <c r="D287">
        <f>IF(Datos!A287="","",IFERROR(MAX(0,N(Datos!E287)),0))</f>
        <v/>
      </c>
      <c r="E287">
        <f>IF(Datos!A287="","",IFERROR(MAX(0,N(Datos!F287)),0))</f>
        <v/>
      </c>
      <c r="F287">
        <f>IF(Datos!A287="","",IFERROR(MAX(0,N(Datos!G287)),0))</f>
        <v/>
      </c>
      <c r="G287">
        <f>IF(Datos!A287="","",IFERROR(MAX(0,N(Datos!H287)),0))</f>
        <v/>
      </c>
      <c r="H287">
        <f>IF(Datos!A287="","",IFERROR(MAX(0,N(Datos!I287)),0))</f>
        <v/>
      </c>
      <c r="J287">
        <f>IF(Datos!A287="","",IF(MAX(C$2:C$301)-MIN(C$2:C$301)&lt;0.000000001,0.5,(C287-MIN(C$2:C$301))/(MAX(C$2:C$301)-MIN(C$2:C$301)))+0.000000001)</f>
        <v/>
      </c>
      <c r="K287">
        <f>IF(Datos!A287="","",IF(MAX(D$2:D$301)-MIN(D$2:D$301)&lt;0.000000001,0.5,(D287-MIN(D$2:D$301))/(MAX(D$2:D$301)-MIN(D$2:D$301)))+0.000000001)</f>
        <v/>
      </c>
      <c r="L287">
        <f>IF(Datos!A287="","",IF(MAX(E$2:E$301)-MIN(E$2:E$301)&lt;0.000000001,0.5,(E287-MIN(E$2:E$301))/(MAX(E$2:E$301)-MIN(E$2:E$301)))+0.000000001)</f>
        <v/>
      </c>
      <c r="M287">
        <f>IF(Datos!A287="","",IF(MAX(F$2:F$301)-MIN(F$2:F$301)&lt;0.000000001,0.5,(F287-MIN(F$2:F$301))/(MAX(F$2:F$301)-MIN(F$2:F$301)))+0.000000001)</f>
        <v/>
      </c>
      <c r="N287">
        <f>IF(Datos!A287="","",IF(MAX(G$2:G$301)-MIN(G$2:G$301)&lt;0.000000001,0.5,(G287-MIN(G$2:G$301))/(MAX(G$2:G$301)-MIN(G$2:G$301)))+0.000000001)</f>
        <v/>
      </c>
      <c r="O287">
        <f>IF(Datos!A287="","",IF(MAX(H$2:H$301)-MIN(H$2:H$301)&lt;0.000000001,0.5,(H287-MIN(H$2:H$301))/(MAX(H$2:H$301)-MIN(H$2:H$301)))+0.000000001)</f>
        <v/>
      </c>
      <c r="Q287">
        <f>IF(Datos!A287="","",(J287/SUM(J$2:J$301))*LN(J287/SUM(J$2:J$301)))</f>
        <v/>
      </c>
      <c r="R287">
        <f>IF(Datos!A287="","",(K287/SUM(K$2:K$301))*LN(K287/SUM(K$2:K$301)))</f>
        <v/>
      </c>
      <c r="S287">
        <f>IF(Datos!A287="","",(L287/SUM(L$2:L$301))*LN(L287/SUM(L$2:L$301)))</f>
        <v/>
      </c>
      <c r="T287">
        <f>IF(Datos!A287="","",(M287/SUM(M$2:M$301))*LN(M287/SUM(M$2:M$301)))</f>
        <v/>
      </c>
      <c r="U287">
        <f>IF(Datos!A287="","",(N287/SUM(N$2:N$301))*LN(N287/SUM(N$2:N$301)))</f>
        <v/>
      </c>
      <c r="V287">
        <f>IF(Datos!A287="","",(O287/SUM(O$2:O$301))*LN(O287/SUM(O$2:O$301)))</f>
        <v/>
      </c>
      <c r="X287">
        <f>IF(Datos!A287="","",IF(SUMSQ(C$2:C$301)=0,0,C287/SQRT(SUMSQ(C$2:C$301)))*$BE$2)</f>
        <v/>
      </c>
      <c r="Y287">
        <f>IF(Datos!A287="","",IF(SUMSQ(D$2:D$301)=0,0,D287/SQRT(SUMSQ(D$2:D$301)))*$BE$3)</f>
        <v/>
      </c>
      <c r="Z287">
        <f>IF(Datos!A287="","",IF(SUMSQ(E$2:E$301)=0,0,E287/SQRT(SUMSQ(E$2:E$301)))*$BE$4)</f>
        <v/>
      </c>
      <c r="AA287">
        <f>IF(Datos!A287="","",IF(SUMSQ(F$2:F$301)=0,0,F287/SQRT(SUMSQ(F$2:F$301)))*$BE$5)</f>
        <v/>
      </c>
      <c r="AB287">
        <f>IF(Datos!A287="","",IF(SUMSQ(G$2:G$301)=0,0,G287/SQRT(SUMSQ(G$2:G$301)))*$BE$6)</f>
        <v/>
      </c>
      <c r="AC287">
        <f>IF(Datos!A287="","",IF(SUMSQ(H$2:H$301)=0,0,H287/SQRT(SUMSQ(H$2:H$301)))*$BE$7)</f>
        <v/>
      </c>
      <c r="AE287">
        <f>IF(Datos!A287="","",SQRT(SUMXMY2(X287:AC287,$X$303:$AC$303)))</f>
        <v/>
      </c>
      <c r="AF287">
        <f>IF(Datos!A287="","",SQRT(SUMXMY2(X287:AC287,$X$304:$AC$304)))</f>
        <v/>
      </c>
      <c r="AG287" s="11">
        <f>IF(Datos!A287="","",IF(AE287+AF287&lt;0.000000001,0.5,AF287/(AE287+AF287)))</f>
        <v/>
      </c>
      <c r="AH287">
        <f>IF(Datos!A287="","",AG287*MAX(C287*D287,1))</f>
        <v/>
      </c>
      <c r="AI287">
        <f>IF(Datos!A287="","",SUMIF($AH$2:$AH$301,"&gt;="&amp;AH287,$AH$2:$AH$301)/SUM($AH$2:$AH$301))</f>
        <v/>
      </c>
      <c r="AJ287" s="12">
        <f>IF(Datos!A287="","",IF(AI287&lt;=Parametros!$B$13,"A",IF(AI287&lt;=Parametros!$B$14,"B","C")))</f>
        <v/>
      </c>
      <c r="AK287" s="13">
        <f>IF(Datos!A287="","",VLOOKUP(AJ287,Parametros!$A$8:$C$10,2,FALSE))</f>
        <v/>
      </c>
      <c r="AL287">
        <f>IF(Datos!A287="","",VLOOKUP(AJ287,Parametros!$A$8:$C$10,3,FALSE))</f>
        <v/>
      </c>
      <c r="AM287">
        <f>IF(Datos!A287="","",NORMSINV(AK287))</f>
        <v/>
      </c>
      <c r="AN287">
        <f>IF(Datos!A287="","",D287/Parametros!$B$4)</f>
        <v/>
      </c>
      <c r="AO287">
        <f>IF(Datos!A287="","",MAX(0,ROUNDUP(AM287*(AN287*Parametros!$B$3)*SQRT((AL287+E287)),0)))</f>
        <v/>
      </c>
      <c r="AP287">
        <f>IF(Datos!A287="","",MAX(1,ROUNDUP(AN287*(AL287+E287)+AM287*(AN287*Parametros!$B$3)*SQRT((AL287+E287)),0)))</f>
        <v/>
      </c>
      <c r="AQ287">
        <f>IF(Datos!A287="","",IF(Datos!J287="","",Datos!J287))</f>
        <v/>
      </c>
      <c r="AR287">
        <f>IF(OR(Datos!A287="",AQ287=""),"",MAX(0,AQ287-AP287))</f>
        <v/>
      </c>
      <c r="AS287" s="10">
        <f>IF(OR(Datos!A287="",AQ287=""),"",AR287*C287)</f>
        <v/>
      </c>
      <c r="AT287" s="12">
        <f>IF(OR(Datos!A287="",AQ287=""),"",IF(AQ287&lt;AO287,"SI",""))</f>
        <v/>
      </c>
      <c r="AU287">
        <f>IF(Datos!A287="","",IF(AT287="SI","Reponer ahora",IF(AND(AQ287&lt;&gt;"",AR287&gt;0),"Bajar "&amp;TEXT(AR287,"#,##0")&amp;" un.","En rango")))</f>
        <v/>
      </c>
    </row>
    <row r="288">
      <c r="A288">
        <f>IF(Datos!A288="","",Datos!A288)</f>
        <v/>
      </c>
      <c r="B288">
        <f>IF(Datos!A288="","",Datos!B288)</f>
        <v/>
      </c>
      <c r="C288">
        <f>IF(Datos!A288="","",IFERROR(MAX(0,N(Datos!D288)),0))</f>
        <v/>
      </c>
      <c r="D288">
        <f>IF(Datos!A288="","",IFERROR(MAX(0,N(Datos!E288)),0))</f>
        <v/>
      </c>
      <c r="E288">
        <f>IF(Datos!A288="","",IFERROR(MAX(0,N(Datos!F288)),0))</f>
        <v/>
      </c>
      <c r="F288">
        <f>IF(Datos!A288="","",IFERROR(MAX(0,N(Datos!G288)),0))</f>
        <v/>
      </c>
      <c r="G288">
        <f>IF(Datos!A288="","",IFERROR(MAX(0,N(Datos!H288)),0))</f>
        <v/>
      </c>
      <c r="H288">
        <f>IF(Datos!A288="","",IFERROR(MAX(0,N(Datos!I288)),0))</f>
        <v/>
      </c>
      <c r="J288">
        <f>IF(Datos!A288="","",IF(MAX(C$2:C$301)-MIN(C$2:C$301)&lt;0.000000001,0.5,(C288-MIN(C$2:C$301))/(MAX(C$2:C$301)-MIN(C$2:C$301)))+0.000000001)</f>
        <v/>
      </c>
      <c r="K288">
        <f>IF(Datos!A288="","",IF(MAX(D$2:D$301)-MIN(D$2:D$301)&lt;0.000000001,0.5,(D288-MIN(D$2:D$301))/(MAX(D$2:D$301)-MIN(D$2:D$301)))+0.000000001)</f>
        <v/>
      </c>
      <c r="L288">
        <f>IF(Datos!A288="","",IF(MAX(E$2:E$301)-MIN(E$2:E$301)&lt;0.000000001,0.5,(E288-MIN(E$2:E$301))/(MAX(E$2:E$301)-MIN(E$2:E$301)))+0.000000001)</f>
        <v/>
      </c>
      <c r="M288">
        <f>IF(Datos!A288="","",IF(MAX(F$2:F$301)-MIN(F$2:F$301)&lt;0.000000001,0.5,(F288-MIN(F$2:F$301))/(MAX(F$2:F$301)-MIN(F$2:F$301)))+0.000000001)</f>
        <v/>
      </c>
      <c r="N288">
        <f>IF(Datos!A288="","",IF(MAX(G$2:G$301)-MIN(G$2:G$301)&lt;0.000000001,0.5,(G288-MIN(G$2:G$301))/(MAX(G$2:G$301)-MIN(G$2:G$301)))+0.000000001)</f>
        <v/>
      </c>
      <c r="O288">
        <f>IF(Datos!A288="","",IF(MAX(H$2:H$301)-MIN(H$2:H$301)&lt;0.000000001,0.5,(H288-MIN(H$2:H$301))/(MAX(H$2:H$301)-MIN(H$2:H$301)))+0.000000001)</f>
        <v/>
      </c>
      <c r="Q288">
        <f>IF(Datos!A288="","",(J288/SUM(J$2:J$301))*LN(J288/SUM(J$2:J$301)))</f>
        <v/>
      </c>
      <c r="R288">
        <f>IF(Datos!A288="","",(K288/SUM(K$2:K$301))*LN(K288/SUM(K$2:K$301)))</f>
        <v/>
      </c>
      <c r="S288">
        <f>IF(Datos!A288="","",(L288/SUM(L$2:L$301))*LN(L288/SUM(L$2:L$301)))</f>
        <v/>
      </c>
      <c r="T288">
        <f>IF(Datos!A288="","",(M288/SUM(M$2:M$301))*LN(M288/SUM(M$2:M$301)))</f>
        <v/>
      </c>
      <c r="U288">
        <f>IF(Datos!A288="","",(N288/SUM(N$2:N$301))*LN(N288/SUM(N$2:N$301)))</f>
        <v/>
      </c>
      <c r="V288">
        <f>IF(Datos!A288="","",(O288/SUM(O$2:O$301))*LN(O288/SUM(O$2:O$301)))</f>
        <v/>
      </c>
      <c r="X288">
        <f>IF(Datos!A288="","",IF(SUMSQ(C$2:C$301)=0,0,C288/SQRT(SUMSQ(C$2:C$301)))*$BE$2)</f>
        <v/>
      </c>
      <c r="Y288">
        <f>IF(Datos!A288="","",IF(SUMSQ(D$2:D$301)=0,0,D288/SQRT(SUMSQ(D$2:D$301)))*$BE$3)</f>
        <v/>
      </c>
      <c r="Z288">
        <f>IF(Datos!A288="","",IF(SUMSQ(E$2:E$301)=0,0,E288/SQRT(SUMSQ(E$2:E$301)))*$BE$4)</f>
        <v/>
      </c>
      <c r="AA288">
        <f>IF(Datos!A288="","",IF(SUMSQ(F$2:F$301)=0,0,F288/SQRT(SUMSQ(F$2:F$301)))*$BE$5)</f>
        <v/>
      </c>
      <c r="AB288">
        <f>IF(Datos!A288="","",IF(SUMSQ(G$2:G$301)=0,0,G288/SQRT(SUMSQ(G$2:G$301)))*$BE$6)</f>
        <v/>
      </c>
      <c r="AC288">
        <f>IF(Datos!A288="","",IF(SUMSQ(H$2:H$301)=0,0,H288/SQRT(SUMSQ(H$2:H$301)))*$BE$7)</f>
        <v/>
      </c>
      <c r="AE288">
        <f>IF(Datos!A288="","",SQRT(SUMXMY2(X288:AC288,$X$303:$AC$303)))</f>
        <v/>
      </c>
      <c r="AF288">
        <f>IF(Datos!A288="","",SQRT(SUMXMY2(X288:AC288,$X$304:$AC$304)))</f>
        <v/>
      </c>
      <c r="AG288" s="11">
        <f>IF(Datos!A288="","",IF(AE288+AF288&lt;0.000000001,0.5,AF288/(AE288+AF288)))</f>
        <v/>
      </c>
      <c r="AH288">
        <f>IF(Datos!A288="","",AG288*MAX(C288*D288,1))</f>
        <v/>
      </c>
      <c r="AI288">
        <f>IF(Datos!A288="","",SUMIF($AH$2:$AH$301,"&gt;="&amp;AH288,$AH$2:$AH$301)/SUM($AH$2:$AH$301))</f>
        <v/>
      </c>
      <c r="AJ288" s="12">
        <f>IF(Datos!A288="","",IF(AI288&lt;=Parametros!$B$13,"A",IF(AI288&lt;=Parametros!$B$14,"B","C")))</f>
        <v/>
      </c>
      <c r="AK288" s="13">
        <f>IF(Datos!A288="","",VLOOKUP(AJ288,Parametros!$A$8:$C$10,2,FALSE))</f>
        <v/>
      </c>
      <c r="AL288">
        <f>IF(Datos!A288="","",VLOOKUP(AJ288,Parametros!$A$8:$C$10,3,FALSE))</f>
        <v/>
      </c>
      <c r="AM288">
        <f>IF(Datos!A288="","",NORMSINV(AK288))</f>
        <v/>
      </c>
      <c r="AN288">
        <f>IF(Datos!A288="","",D288/Parametros!$B$4)</f>
        <v/>
      </c>
      <c r="AO288">
        <f>IF(Datos!A288="","",MAX(0,ROUNDUP(AM288*(AN288*Parametros!$B$3)*SQRT((AL288+E288)),0)))</f>
        <v/>
      </c>
      <c r="AP288">
        <f>IF(Datos!A288="","",MAX(1,ROUNDUP(AN288*(AL288+E288)+AM288*(AN288*Parametros!$B$3)*SQRT((AL288+E288)),0)))</f>
        <v/>
      </c>
      <c r="AQ288">
        <f>IF(Datos!A288="","",IF(Datos!J288="","",Datos!J288))</f>
        <v/>
      </c>
      <c r="AR288">
        <f>IF(OR(Datos!A288="",AQ288=""),"",MAX(0,AQ288-AP288))</f>
        <v/>
      </c>
      <c r="AS288" s="10">
        <f>IF(OR(Datos!A288="",AQ288=""),"",AR288*C288)</f>
        <v/>
      </c>
      <c r="AT288" s="12">
        <f>IF(OR(Datos!A288="",AQ288=""),"",IF(AQ288&lt;AO288,"SI",""))</f>
        <v/>
      </c>
      <c r="AU288">
        <f>IF(Datos!A288="","",IF(AT288="SI","Reponer ahora",IF(AND(AQ288&lt;&gt;"",AR288&gt;0),"Bajar "&amp;TEXT(AR288,"#,##0")&amp;" un.","En rango")))</f>
        <v/>
      </c>
    </row>
    <row r="289">
      <c r="A289">
        <f>IF(Datos!A289="","",Datos!A289)</f>
        <v/>
      </c>
      <c r="B289">
        <f>IF(Datos!A289="","",Datos!B289)</f>
        <v/>
      </c>
      <c r="C289">
        <f>IF(Datos!A289="","",IFERROR(MAX(0,N(Datos!D289)),0))</f>
        <v/>
      </c>
      <c r="D289">
        <f>IF(Datos!A289="","",IFERROR(MAX(0,N(Datos!E289)),0))</f>
        <v/>
      </c>
      <c r="E289">
        <f>IF(Datos!A289="","",IFERROR(MAX(0,N(Datos!F289)),0))</f>
        <v/>
      </c>
      <c r="F289">
        <f>IF(Datos!A289="","",IFERROR(MAX(0,N(Datos!G289)),0))</f>
        <v/>
      </c>
      <c r="G289">
        <f>IF(Datos!A289="","",IFERROR(MAX(0,N(Datos!H289)),0))</f>
        <v/>
      </c>
      <c r="H289">
        <f>IF(Datos!A289="","",IFERROR(MAX(0,N(Datos!I289)),0))</f>
        <v/>
      </c>
      <c r="J289">
        <f>IF(Datos!A289="","",IF(MAX(C$2:C$301)-MIN(C$2:C$301)&lt;0.000000001,0.5,(C289-MIN(C$2:C$301))/(MAX(C$2:C$301)-MIN(C$2:C$301)))+0.000000001)</f>
        <v/>
      </c>
      <c r="K289">
        <f>IF(Datos!A289="","",IF(MAX(D$2:D$301)-MIN(D$2:D$301)&lt;0.000000001,0.5,(D289-MIN(D$2:D$301))/(MAX(D$2:D$301)-MIN(D$2:D$301)))+0.000000001)</f>
        <v/>
      </c>
      <c r="L289">
        <f>IF(Datos!A289="","",IF(MAX(E$2:E$301)-MIN(E$2:E$301)&lt;0.000000001,0.5,(E289-MIN(E$2:E$301))/(MAX(E$2:E$301)-MIN(E$2:E$301)))+0.000000001)</f>
        <v/>
      </c>
      <c r="M289">
        <f>IF(Datos!A289="","",IF(MAX(F$2:F$301)-MIN(F$2:F$301)&lt;0.000000001,0.5,(F289-MIN(F$2:F$301))/(MAX(F$2:F$301)-MIN(F$2:F$301)))+0.000000001)</f>
        <v/>
      </c>
      <c r="N289">
        <f>IF(Datos!A289="","",IF(MAX(G$2:G$301)-MIN(G$2:G$301)&lt;0.000000001,0.5,(G289-MIN(G$2:G$301))/(MAX(G$2:G$301)-MIN(G$2:G$301)))+0.000000001)</f>
        <v/>
      </c>
      <c r="O289">
        <f>IF(Datos!A289="","",IF(MAX(H$2:H$301)-MIN(H$2:H$301)&lt;0.000000001,0.5,(H289-MIN(H$2:H$301))/(MAX(H$2:H$301)-MIN(H$2:H$301)))+0.000000001)</f>
        <v/>
      </c>
      <c r="Q289">
        <f>IF(Datos!A289="","",(J289/SUM(J$2:J$301))*LN(J289/SUM(J$2:J$301)))</f>
        <v/>
      </c>
      <c r="R289">
        <f>IF(Datos!A289="","",(K289/SUM(K$2:K$301))*LN(K289/SUM(K$2:K$301)))</f>
        <v/>
      </c>
      <c r="S289">
        <f>IF(Datos!A289="","",(L289/SUM(L$2:L$301))*LN(L289/SUM(L$2:L$301)))</f>
        <v/>
      </c>
      <c r="T289">
        <f>IF(Datos!A289="","",(M289/SUM(M$2:M$301))*LN(M289/SUM(M$2:M$301)))</f>
        <v/>
      </c>
      <c r="U289">
        <f>IF(Datos!A289="","",(N289/SUM(N$2:N$301))*LN(N289/SUM(N$2:N$301)))</f>
        <v/>
      </c>
      <c r="V289">
        <f>IF(Datos!A289="","",(O289/SUM(O$2:O$301))*LN(O289/SUM(O$2:O$301)))</f>
        <v/>
      </c>
      <c r="X289">
        <f>IF(Datos!A289="","",IF(SUMSQ(C$2:C$301)=0,0,C289/SQRT(SUMSQ(C$2:C$301)))*$BE$2)</f>
        <v/>
      </c>
      <c r="Y289">
        <f>IF(Datos!A289="","",IF(SUMSQ(D$2:D$301)=0,0,D289/SQRT(SUMSQ(D$2:D$301)))*$BE$3)</f>
        <v/>
      </c>
      <c r="Z289">
        <f>IF(Datos!A289="","",IF(SUMSQ(E$2:E$301)=0,0,E289/SQRT(SUMSQ(E$2:E$301)))*$BE$4)</f>
        <v/>
      </c>
      <c r="AA289">
        <f>IF(Datos!A289="","",IF(SUMSQ(F$2:F$301)=0,0,F289/SQRT(SUMSQ(F$2:F$301)))*$BE$5)</f>
        <v/>
      </c>
      <c r="AB289">
        <f>IF(Datos!A289="","",IF(SUMSQ(G$2:G$301)=0,0,G289/SQRT(SUMSQ(G$2:G$301)))*$BE$6)</f>
        <v/>
      </c>
      <c r="AC289">
        <f>IF(Datos!A289="","",IF(SUMSQ(H$2:H$301)=0,0,H289/SQRT(SUMSQ(H$2:H$301)))*$BE$7)</f>
        <v/>
      </c>
      <c r="AE289">
        <f>IF(Datos!A289="","",SQRT(SUMXMY2(X289:AC289,$X$303:$AC$303)))</f>
        <v/>
      </c>
      <c r="AF289">
        <f>IF(Datos!A289="","",SQRT(SUMXMY2(X289:AC289,$X$304:$AC$304)))</f>
        <v/>
      </c>
      <c r="AG289" s="11">
        <f>IF(Datos!A289="","",IF(AE289+AF289&lt;0.000000001,0.5,AF289/(AE289+AF289)))</f>
        <v/>
      </c>
      <c r="AH289">
        <f>IF(Datos!A289="","",AG289*MAX(C289*D289,1))</f>
        <v/>
      </c>
      <c r="AI289">
        <f>IF(Datos!A289="","",SUMIF($AH$2:$AH$301,"&gt;="&amp;AH289,$AH$2:$AH$301)/SUM($AH$2:$AH$301))</f>
        <v/>
      </c>
      <c r="AJ289" s="12">
        <f>IF(Datos!A289="","",IF(AI289&lt;=Parametros!$B$13,"A",IF(AI289&lt;=Parametros!$B$14,"B","C")))</f>
        <v/>
      </c>
      <c r="AK289" s="13">
        <f>IF(Datos!A289="","",VLOOKUP(AJ289,Parametros!$A$8:$C$10,2,FALSE))</f>
        <v/>
      </c>
      <c r="AL289">
        <f>IF(Datos!A289="","",VLOOKUP(AJ289,Parametros!$A$8:$C$10,3,FALSE))</f>
        <v/>
      </c>
      <c r="AM289">
        <f>IF(Datos!A289="","",NORMSINV(AK289))</f>
        <v/>
      </c>
      <c r="AN289">
        <f>IF(Datos!A289="","",D289/Parametros!$B$4)</f>
        <v/>
      </c>
      <c r="AO289">
        <f>IF(Datos!A289="","",MAX(0,ROUNDUP(AM289*(AN289*Parametros!$B$3)*SQRT((AL289+E289)),0)))</f>
        <v/>
      </c>
      <c r="AP289">
        <f>IF(Datos!A289="","",MAX(1,ROUNDUP(AN289*(AL289+E289)+AM289*(AN289*Parametros!$B$3)*SQRT((AL289+E289)),0)))</f>
        <v/>
      </c>
      <c r="AQ289">
        <f>IF(Datos!A289="","",IF(Datos!J289="","",Datos!J289))</f>
        <v/>
      </c>
      <c r="AR289">
        <f>IF(OR(Datos!A289="",AQ289=""),"",MAX(0,AQ289-AP289))</f>
        <v/>
      </c>
      <c r="AS289" s="10">
        <f>IF(OR(Datos!A289="",AQ289=""),"",AR289*C289)</f>
        <v/>
      </c>
      <c r="AT289" s="12">
        <f>IF(OR(Datos!A289="",AQ289=""),"",IF(AQ289&lt;AO289,"SI",""))</f>
        <v/>
      </c>
      <c r="AU289">
        <f>IF(Datos!A289="","",IF(AT289="SI","Reponer ahora",IF(AND(AQ289&lt;&gt;"",AR289&gt;0),"Bajar "&amp;TEXT(AR289,"#,##0")&amp;" un.","En rango")))</f>
        <v/>
      </c>
    </row>
    <row r="290">
      <c r="A290">
        <f>IF(Datos!A290="","",Datos!A290)</f>
        <v/>
      </c>
      <c r="B290">
        <f>IF(Datos!A290="","",Datos!B290)</f>
        <v/>
      </c>
      <c r="C290">
        <f>IF(Datos!A290="","",IFERROR(MAX(0,N(Datos!D290)),0))</f>
        <v/>
      </c>
      <c r="D290">
        <f>IF(Datos!A290="","",IFERROR(MAX(0,N(Datos!E290)),0))</f>
        <v/>
      </c>
      <c r="E290">
        <f>IF(Datos!A290="","",IFERROR(MAX(0,N(Datos!F290)),0))</f>
        <v/>
      </c>
      <c r="F290">
        <f>IF(Datos!A290="","",IFERROR(MAX(0,N(Datos!G290)),0))</f>
        <v/>
      </c>
      <c r="G290">
        <f>IF(Datos!A290="","",IFERROR(MAX(0,N(Datos!H290)),0))</f>
        <v/>
      </c>
      <c r="H290">
        <f>IF(Datos!A290="","",IFERROR(MAX(0,N(Datos!I290)),0))</f>
        <v/>
      </c>
      <c r="J290">
        <f>IF(Datos!A290="","",IF(MAX(C$2:C$301)-MIN(C$2:C$301)&lt;0.000000001,0.5,(C290-MIN(C$2:C$301))/(MAX(C$2:C$301)-MIN(C$2:C$301)))+0.000000001)</f>
        <v/>
      </c>
      <c r="K290">
        <f>IF(Datos!A290="","",IF(MAX(D$2:D$301)-MIN(D$2:D$301)&lt;0.000000001,0.5,(D290-MIN(D$2:D$301))/(MAX(D$2:D$301)-MIN(D$2:D$301)))+0.000000001)</f>
        <v/>
      </c>
      <c r="L290">
        <f>IF(Datos!A290="","",IF(MAX(E$2:E$301)-MIN(E$2:E$301)&lt;0.000000001,0.5,(E290-MIN(E$2:E$301))/(MAX(E$2:E$301)-MIN(E$2:E$301)))+0.000000001)</f>
        <v/>
      </c>
      <c r="M290">
        <f>IF(Datos!A290="","",IF(MAX(F$2:F$301)-MIN(F$2:F$301)&lt;0.000000001,0.5,(F290-MIN(F$2:F$301))/(MAX(F$2:F$301)-MIN(F$2:F$301)))+0.000000001)</f>
        <v/>
      </c>
      <c r="N290">
        <f>IF(Datos!A290="","",IF(MAX(G$2:G$301)-MIN(G$2:G$301)&lt;0.000000001,0.5,(G290-MIN(G$2:G$301))/(MAX(G$2:G$301)-MIN(G$2:G$301)))+0.000000001)</f>
        <v/>
      </c>
      <c r="O290">
        <f>IF(Datos!A290="","",IF(MAX(H$2:H$301)-MIN(H$2:H$301)&lt;0.000000001,0.5,(H290-MIN(H$2:H$301))/(MAX(H$2:H$301)-MIN(H$2:H$301)))+0.000000001)</f>
        <v/>
      </c>
      <c r="Q290">
        <f>IF(Datos!A290="","",(J290/SUM(J$2:J$301))*LN(J290/SUM(J$2:J$301)))</f>
        <v/>
      </c>
      <c r="R290">
        <f>IF(Datos!A290="","",(K290/SUM(K$2:K$301))*LN(K290/SUM(K$2:K$301)))</f>
        <v/>
      </c>
      <c r="S290">
        <f>IF(Datos!A290="","",(L290/SUM(L$2:L$301))*LN(L290/SUM(L$2:L$301)))</f>
        <v/>
      </c>
      <c r="T290">
        <f>IF(Datos!A290="","",(M290/SUM(M$2:M$301))*LN(M290/SUM(M$2:M$301)))</f>
        <v/>
      </c>
      <c r="U290">
        <f>IF(Datos!A290="","",(N290/SUM(N$2:N$301))*LN(N290/SUM(N$2:N$301)))</f>
        <v/>
      </c>
      <c r="V290">
        <f>IF(Datos!A290="","",(O290/SUM(O$2:O$301))*LN(O290/SUM(O$2:O$301)))</f>
        <v/>
      </c>
      <c r="X290">
        <f>IF(Datos!A290="","",IF(SUMSQ(C$2:C$301)=0,0,C290/SQRT(SUMSQ(C$2:C$301)))*$BE$2)</f>
        <v/>
      </c>
      <c r="Y290">
        <f>IF(Datos!A290="","",IF(SUMSQ(D$2:D$301)=0,0,D290/SQRT(SUMSQ(D$2:D$301)))*$BE$3)</f>
        <v/>
      </c>
      <c r="Z290">
        <f>IF(Datos!A290="","",IF(SUMSQ(E$2:E$301)=0,0,E290/SQRT(SUMSQ(E$2:E$301)))*$BE$4)</f>
        <v/>
      </c>
      <c r="AA290">
        <f>IF(Datos!A290="","",IF(SUMSQ(F$2:F$301)=0,0,F290/SQRT(SUMSQ(F$2:F$301)))*$BE$5)</f>
        <v/>
      </c>
      <c r="AB290">
        <f>IF(Datos!A290="","",IF(SUMSQ(G$2:G$301)=0,0,G290/SQRT(SUMSQ(G$2:G$301)))*$BE$6)</f>
        <v/>
      </c>
      <c r="AC290">
        <f>IF(Datos!A290="","",IF(SUMSQ(H$2:H$301)=0,0,H290/SQRT(SUMSQ(H$2:H$301)))*$BE$7)</f>
        <v/>
      </c>
      <c r="AE290">
        <f>IF(Datos!A290="","",SQRT(SUMXMY2(X290:AC290,$X$303:$AC$303)))</f>
        <v/>
      </c>
      <c r="AF290">
        <f>IF(Datos!A290="","",SQRT(SUMXMY2(X290:AC290,$X$304:$AC$304)))</f>
        <v/>
      </c>
      <c r="AG290" s="11">
        <f>IF(Datos!A290="","",IF(AE290+AF290&lt;0.000000001,0.5,AF290/(AE290+AF290)))</f>
        <v/>
      </c>
      <c r="AH290">
        <f>IF(Datos!A290="","",AG290*MAX(C290*D290,1))</f>
        <v/>
      </c>
      <c r="AI290">
        <f>IF(Datos!A290="","",SUMIF($AH$2:$AH$301,"&gt;="&amp;AH290,$AH$2:$AH$301)/SUM($AH$2:$AH$301))</f>
        <v/>
      </c>
      <c r="AJ290" s="12">
        <f>IF(Datos!A290="","",IF(AI290&lt;=Parametros!$B$13,"A",IF(AI290&lt;=Parametros!$B$14,"B","C")))</f>
        <v/>
      </c>
      <c r="AK290" s="13">
        <f>IF(Datos!A290="","",VLOOKUP(AJ290,Parametros!$A$8:$C$10,2,FALSE))</f>
        <v/>
      </c>
      <c r="AL290">
        <f>IF(Datos!A290="","",VLOOKUP(AJ290,Parametros!$A$8:$C$10,3,FALSE))</f>
        <v/>
      </c>
      <c r="AM290">
        <f>IF(Datos!A290="","",NORMSINV(AK290))</f>
        <v/>
      </c>
      <c r="AN290">
        <f>IF(Datos!A290="","",D290/Parametros!$B$4)</f>
        <v/>
      </c>
      <c r="AO290">
        <f>IF(Datos!A290="","",MAX(0,ROUNDUP(AM290*(AN290*Parametros!$B$3)*SQRT((AL290+E290)),0)))</f>
        <v/>
      </c>
      <c r="AP290">
        <f>IF(Datos!A290="","",MAX(1,ROUNDUP(AN290*(AL290+E290)+AM290*(AN290*Parametros!$B$3)*SQRT((AL290+E290)),0)))</f>
        <v/>
      </c>
      <c r="AQ290">
        <f>IF(Datos!A290="","",IF(Datos!J290="","",Datos!J290))</f>
        <v/>
      </c>
      <c r="AR290">
        <f>IF(OR(Datos!A290="",AQ290=""),"",MAX(0,AQ290-AP290))</f>
        <v/>
      </c>
      <c r="AS290" s="10">
        <f>IF(OR(Datos!A290="",AQ290=""),"",AR290*C290)</f>
        <v/>
      </c>
      <c r="AT290" s="12">
        <f>IF(OR(Datos!A290="",AQ290=""),"",IF(AQ290&lt;AO290,"SI",""))</f>
        <v/>
      </c>
      <c r="AU290">
        <f>IF(Datos!A290="","",IF(AT290="SI","Reponer ahora",IF(AND(AQ290&lt;&gt;"",AR290&gt;0),"Bajar "&amp;TEXT(AR290,"#,##0")&amp;" un.","En rango")))</f>
        <v/>
      </c>
    </row>
    <row r="291">
      <c r="A291">
        <f>IF(Datos!A291="","",Datos!A291)</f>
        <v/>
      </c>
      <c r="B291">
        <f>IF(Datos!A291="","",Datos!B291)</f>
        <v/>
      </c>
      <c r="C291">
        <f>IF(Datos!A291="","",IFERROR(MAX(0,N(Datos!D291)),0))</f>
        <v/>
      </c>
      <c r="D291">
        <f>IF(Datos!A291="","",IFERROR(MAX(0,N(Datos!E291)),0))</f>
        <v/>
      </c>
      <c r="E291">
        <f>IF(Datos!A291="","",IFERROR(MAX(0,N(Datos!F291)),0))</f>
        <v/>
      </c>
      <c r="F291">
        <f>IF(Datos!A291="","",IFERROR(MAX(0,N(Datos!G291)),0))</f>
        <v/>
      </c>
      <c r="G291">
        <f>IF(Datos!A291="","",IFERROR(MAX(0,N(Datos!H291)),0))</f>
        <v/>
      </c>
      <c r="H291">
        <f>IF(Datos!A291="","",IFERROR(MAX(0,N(Datos!I291)),0))</f>
        <v/>
      </c>
      <c r="J291">
        <f>IF(Datos!A291="","",IF(MAX(C$2:C$301)-MIN(C$2:C$301)&lt;0.000000001,0.5,(C291-MIN(C$2:C$301))/(MAX(C$2:C$301)-MIN(C$2:C$301)))+0.000000001)</f>
        <v/>
      </c>
      <c r="K291">
        <f>IF(Datos!A291="","",IF(MAX(D$2:D$301)-MIN(D$2:D$301)&lt;0.000000001,0.5,(D291-MIN(D$2:D$301))/(MAX(D$2:D$301)-MIN(D$2:D$301)))+0.000000001)</f>
        <v/>
      </c>
      <c r="L291">
        <f>IF(Datos!A291="","",IF(MAX(E$2:E$301)-MIN(E$2:E$301)&lt;0.000000001,0.5,(E291-MIN(E$2:E$301))/(MAX(E$2:E$301)-MIN(E$2:E$301)))+0.000000001)</f>
        <v/>
      </c>
      <c r="M291">
        <f>IF(Datos!A291="","",IF(MAX(F$2:F$301)-MIN(F$2:F$301)&lt;0.000000001,0.5,(F291-MIN(F$2:F$301))/(MAX(F$2:F$301)-MIN(F$2:F$301)))+0.000000001)</f>
        <v/>
      </c>
      <c r="N291">
        <f>IF(Datos!A291="","",IF(MAX(G$2:G$301)-MIN(G$2:G$301)&lt;0.000000001,0.5,(G291-MIN(G$2:G$301))/(MAX(G$2:G$301)-MIN(G$2:G$301)))+0.000000001)</f>
        <v/>
      </c>
      <c r="O291">
        <f>IF(Datos!A291="","",IF(MAX(H$2:H$301)-MIN(H$2:H$301)&lt;0.000000001,0.5,(H291-MIN(H$2:H$301))/(MAX(H$2:H$301)-MIN(H$2:H$301)))+0.000000001)</f>
        <v/>
      </c>
      <c r="Q291">
        <f>IF(Datos!A291="","",(J291/SUM(J$2:J$301))*LN(J291/SUM(J$2:J$301)))</f>
        <v/>
      </c>
      <c r="R291">
        <f>IF(Datos!A291="","",(K291/SUM(K$2:K$301))*LN(K291/SUM(K$2:K$301)))</f>
        <v/>
      </c>
      <c r="S291">
        <f>IF(Datos!A291="","",(L291/SUM(L$2:L$301))*LN(L291/SUM(L$2:L$301)))</f>
        <v/>
      </c>
      <c r="T291">
        <f>IF(Datos!A291="","",(M291/SUM(M$2:M$301))*LN(M291/SUM(M$2:M$301)))</f>
        <v/>
      </c>
      <c r="U291">
        <f>IF(Datos!A291="","",(N291/SUM(N$2:N$301))*LN(N291/SUM(N$2:N$301)))</f>
        <v/>
      </c>
      <c r="V291">
        <f>IF(Datos!A291="","",(O291/SUM(O$2:O$301))*LN(O291/SUM(O$2:O$301)))</f>
        <v/>
      </c>
      <c r="X291">
        <f>IF(Datos!A291="","",IF(SUMSQ(C$2:C$301)=0,0,C291/SQRT(SUMSQ(C$2:C$301)))*$BE$2)</f>
        <v/>
      </c>
      <c r="Y291">
        <f>IF(Datos!A291="","",IF(SUMSQ(D$2:D$301)=0,0,D291/SQRT(SUMSQ(D$2:D$301)))*$BE$3)</f>
        <v/>
      </c>
      <c r="Z291">
        <f>IF(Datos!A291="","",IF(SUMSQ(E$2:E$301)=0,0,E291/SQRT(SUMSQ(E$2:E$301)))*$BE$4)</f>
        <v/>
      </c>
      <c r="AA291">
        <f>IF(Datos!A291="","",IF(SUMSQ(F$2:F$301)=0,0,F291/SQRT(SUMSQ(F$2:F$301)))*$BE$5)</f>
        <v/>
      </c>
      <c r="AB291">
        <f>IF(Datos!A291="","",IF(SUMSQ(G$2:G$301)=0,0,G291/SQRT(SUMSQ(G$2:G$301)))*$BE$6)</f>
        <v/>
      </c>
      <c r="AC291">
        <f>IF(Datos!A291="","",IF(SUMSQ(H$2:H$301)=0,0,H291/SQRT(SUMSQ(H$2:H$301)))*$BE$7)</f>
        <v/>
      </c>
      <c r="AE291">
        <f>IF(Datos!A291="","",SQRT(SUMXMY2(X291:AC291,$X$303:$AC$303)))</f>
        <v/>
      </c>
      <c r="AF291">
        <f>IF(Datos!A291="","",SQRT(SUMXMY2(X291:AC291,$X$304:$AC$304)))</f>
        <v/>
      </c>
      <c r="AG291" s="11">
        <f>IF(Datos!A291="","",IF(AE291+AF291&lt;0.000000001,0.5,AF291/(AE291+AF291)))</f>
        <v/>
      </c>
      <c r="AH291">
        <f>IF(Datos!A291="","",AG291*MAX(C291*D291,1))</f>
        <v/>
      </c>
      <c r="AI291">
        <f>IF(Datos!A291="","",SUMIF($AH$2:$AH$301,"&gt;="&amp;AH291,$AH$2:$AH$301)/SUM($AH$2:$AH$301))</f>
        <v/>
      </c>
      <c r="AJ291" s="12">
        <f>IF(Datos!A291="","",IF(AI291&lt;=Parametros!$B$13,"A",IF(AI291&lt;=Parametros!$B$14,"B","C")))</f>
        <v/>
      </c>
      <c r="AK291" s="13">
        <f>IF(Datos!A291="","",VLOOKUP(AJ291,Parametros!$A$8:$C$10,2,FALSE))</f>
        <v/>
      </c>
      <c r="AL291">
        <f>IF(Datos!A291="","",VLOOKUP(AJ291,Parametros!$A$8:$C$10,3,FALSE))</f>
        <v/>
      </c>
      <c r="AM291">
        <f>IF(Datos!A291="","",NORMSINV(AK291))</f>
        <v/>
      </c>
      <c r="AN291">
        <f>IF(Datos!A291="","",D291/Parametros!$B$4)</f>
        <v/>
      </c>
      <c r="AO291">
        <f>IF(Datos!A291="","",MAX(0,ROUNDUP(AM291*(AN291*Parametros!$B$3)*SQRT((AL291+E291)),0)))</f>
        <v/>
      </c>
      <c r="AP291">
        <f>IF(Datos!A291="","",MAX(1,ROUNDUP(AN291*(AL291+E291)+AM291*(AN291*Parametros!$B$3)*SQRT((AL291+E291)),0)))</f>
        <v/>
      </c>
      <c r="AQ291">
        <f>IF(Datos!A291="","",IF(Datos!J291="","",Datos!J291))</f>
        <v/>
      </c>
      <c r="AR291">
        <f>IF(OR(Datos!A291="",AQ291=""),"",MAX(0,AQ291-AP291))</f>
        <v/>
      </c>
      <c r="AS291" s="10">
        <f>IF(OR(Datos!A291="",AQ291=""),"",AR291*C291)</f>
        <v/>
      </c>
      <c r="AT291" s="12">
        <f>IF(OR(Datos!A291="",AQ291=""),"",IF(AQ291&lt;AO291,"SI",""))</f>
        <v/>
      </c>
      <c r="AU291">
        <f>IF(Datos!A291="","",IF(AT291="SI","Reponer ahora",IF(AND(AQ291&lt;&gt;"",AR291&gt;0),"Bajar "&amp;TEXT(AR291,"#,##0")&amp;" un.","En rango")))</f>
        <v/>
      </c>
    </row>
    <row r="292">
      <c r="A292">
        <f>IF(Datos!A292="","",Datos!A292)</f>
        <v/>
      </c>
      <c r="B292">
        <f>IF(Datos!A292="","",Datos!B292)</f>
        <v/>
      </c>
      <c r="C292">
        <f>IF(Datos!A292="","",IFERROR(MAX(0,N(Datos!D292)),0))</f>
        <v/>
      </c>
      <c r="D292">
        <f>IF(Datos!A292="","",IFERROR(MAX(0,N(Datos!E292)),0))</f>
        <v/>
      </c>
      <c r="E292">
        <f>IF(Datos!A292="","",IFERROR(MAX(0,N(Datos!F292)),0))</f>
        <v/>
      </c>
      <c r="F292">
        <f>IF(Datos!A292="","",IFERROR(MAX(0,N(Datos!G292)),0))</f>
        <v/>
      </c>
      <c r="G292">
        <f>IF(Datos!A292="","",IFERROR(MAX(0,N(Datos!H292)),0))</f>
        <v/>
      </c>
      <c r="H292">
        <f>IF(Datos!A292="","",IFERROR(MAX(0,N(Datos!I292)),0))</f>
        <v/>
      </c>
      <c r="J292">
        <f>IF(Datos!A292="","",IF(MAX(C$2:C$301)-MIN(C$2:C$301)&lt;0.000000001,0.5,(C292-MIN(C$2:C$301))/(MAX(C$2:C$301)-MIN(C$2:C$301)))+0.000000001)</f>
        <v/>
      </c>
      <c r="K292">
        <f>IF(Datos!A292="","",IF(MAX(D$2:D$301)-MIN(D$2:D$301)&lt;0.000000001,0.5,(D292-MIN(D$2:D$301))/(MAX(D$2:D$301)-MIN(D$2:D$301)))+0.000000001)</f>
        <v/>
      </c>
      <c r="L292">
        <f>IF(Datos!A292="","",IF(MAX(E$2:E$301)-MIN(E$2:E$301)&lt;0.000000001,0.5,(E292-MIN(E$2:E$301))/(MAX(E$2:E$301)-MIN(E$2:E$301)))+0.000000001)</f>
        <v/>
      </c>
      <c r="M292">
        <f>IF(Datos!A292="","",IF(MAX(F$2:F$301)-MIN(F$2:F$301)&lt;0.000000001,0.5,(F292-MIN(F$2:F$301))/(MAX(F$2:F$301)-MIN(F$2:F$301)))+0.000000001)</f>
        <v/>
      </c>
      <c r="N292">
        <f>IF(Datos!A292="","",IF(MAX(G$2:G$301)-MIN(G$2:G$301)&lt;0.000000001,0.5,(G292-MIN(G$2:G$301))/(MAX(G$2:G$301)-MIN(G$2:G$301)))+0.000000001)</f>
        <v/>
      </c>
      <c r="O292">
        <f>IF(Datos!A292="","",IF(MAX(H$2:H$301)-MIN(H$2:H$301)&lt;0.000000001,0.5,(H292-MIN(H$2:H$301))/(MAX(H$2:H$301)-MIN(H$2:H$301)))+0.000000001)</f>
        <v/>
      </c>
      <c r="Q292">
        <f>IF(Datos!A292="","",(J292/SUM(J$2:J$301))*LN(J292/SUM(J$2:J$301)))</f>
        <v/>
      </c>
      <c r="R292">
        <f>IF(Datos!A292="","",(K292/SUM(K$2:K$301))*LN(K292/SUM(K$2:K$301)))</f>
        <v/>
      </c>
      <c r="S292">
        <f>IF(Datos!A292="","",(L292/SUM(L$2:L$301))*LN(L292/SUM(L$2:L$301)))</f>
        <v/>
      </c>
      <c r="T292">
        <f>IF(Datos!A292="","",(M292/SUM(M$2:M$301))*LN(M292/SUM(M$2:M$301)))</f>
        <v/>
      </c>
      <c r="U292">
        <f>IF(Datos!A292="","",(N292/SUM(N$2:N$301))*LN(N292/SUM(N$2:N$301)))</f>
        <v/>
      </c>
      <c r="V292">
        <f>IF(Datos!A292="","",(O292/SUM(O$2:O$301))*LN(O292/SUM(O$2:O$301)))</f>
        <v/>
      </c>
      <c r="X292">
        <f>IF(Datos!A292="","",IF(SUMSQ(C$2:C$301)=0,0,C292/SQRT(SUMSQ(C$2:C$301)))*$BE$2)</f>
        <v/>
      </c>
      <c r="Y292">
        <f>IF(Datos!A292="","",IF(SUMSQ(D$2:D$301)=0,0,D292/SQRT(SUMSQ(D$2:D$301)))*$BE$3)</f>
        <v/>
      </c>
      <c r="Z292">
        <f>IF(Datos!A292="","",IF(SUMSQ(E$2:E$301)=0,0,E292/SQRT(SUMSQ(E$2:E$301)))*$BE$4)</f>
        <v/>
      </c>
      <c r="AA292">
        <f>IF(Datos!A292="","",IF(SUMSQ(F$2:F$301)=0,0,F292/SQRT(SUMSQ(F$2:F$301)))*$BE$5)</f>
        <v/>
      </c>
      <c r="AB292">
        <f>IF(Datos!A292="","",IF(SUMSQ(G$2:G$301)=0,0,G292/SQRT(SUMSQ(G$2:G$301)))*$BE$6)</f>
        <v/>
      </c>
      <c r="AC292">
        <f>IF(Datos!A292="","",IF(SUMSQ(H$2:H$301)=0,0,H292/SQRT(SUMSQ(H$2:H$301)))*$BE$7)</f>
        <v/>
      </c>
      <c r="AE292">
        <f>IF(Datos!A292="","",SQRT(SUMXMY2(X292:AC292,$X$303:$AC$303)))</f>
        <v/>
      </c>
      <c r="AF292">
        <f>IF(Datos!A292="","",SQRT(SUMXMY2(X292:AC292,$X$304:$AC$304)))</f>
        <v/>
      </c>
      <c r="AG292" s="11">
        <f>IF(Datos!A292="","",IF(AE292+AF292&lt;0.000000001,0.5,AF292/(AE292+AF292)))</f>
        <v/>
      </c>
      <c r="AH292">
        <f>IF(Datos!A292="","",AG292*MAX(C292*D292,1))</f>
        <v/>
      </c>
      <c r="AI292">
        <f>IF(Datos!A292="","",SUMIF($AH$2:$AH$301,"&gt;="&amp;AH292,$AH$2:$AH$301)/SUM($AH$2:$AH$301))</f>
        <v/>
      </c>
      <c r="AJ292" s="12">
        <f>IF(Datos!A292="","",IF(AI292&lt;=Parametros!$B$13,"A",IF(AI292&lt;=Parametros!$B$14,"B","C")))</f>
        <v/>
      </c>
      <c r="AK292" s="13">
        <f>IF(Datos!A292="","",VLOOKUP(AJ292,Parametros!$A$8:$C$10,2,FALSE))</f>
        <v/>
      </c>
      <c r="AL292">
        <f>IF(Datos!A292="","",VLOOKUP(AJ292,Parametros!$A$8:$C$10,3,FALSE))</f>
        <v/>
      </c>
      <c r="AM292">
        <f>IF(Datos!A292="","",NORMSINV(AK292))</f>
        <v/>
      </c>
      <c r="AN292">
        <f>IF(Datos!A292="","",D292/Parametros!$B$4)</f>
        <v/>
      </c>
      <c r="AO292">
        <f>IF(Datos!A292="","",MAX(0,ROUNDUP(AM292*(AN292*Parametros!$B$3)*SQRT((AL292+E292)),0)))</f>
        <v/>
      </c>
      <c r="AP292">
        <f>IF(Datos!A292="","",MAX(1,ROUNDUP(AN292*(AL292+E292)+AM292*(AN292*Parametros!$B$3)*SQRT((AL292+E292)),0)))</f>
        <v/>
      </c>
      <c r="AQ292">
        <f>IF(Datos!A292="","",IF(Datos!J292="","",Datos!J292))</f>
        <v/>
      </c>
      <c r="AR292">
        <f>IF(OR(Datos!A292="",AQ292=""),"",MAX(0,AQ292-AP292))</f>
        <v/>
      </c>
      <c r="AS292" s="10">
        <f>IF(OR(Datos!A292="",AQ292=""),"",AR292*C292)</f>
        <v/>
      </c>
      <c r="AT292" s="12">
        <f>IF(OR(Datos!A292="",AQ292=""),"",IF(AQ292&lt;AO292,"SI",""))</f>
        <v/>
      </c>
      <c r="AU292">
        <f>IF(Datos!A292="","",IF(AT292="SI","Reponer ahora",IF(AND(AQ292&lt;&gt;"",AR292&gt;0),"Bajar "&amp;TEXT(AR292,"#,##0")&amp;" un.","En rango")))</f>
        <v/>
      </c>
    </row>
    <row r="293">
      <c r="A293">
        <f>IF(Datos!A293="","",Datos!A293)</f>
        <v/>
      </c>
      <c r="B293">
        <f>IF(Datos!A293="","",Datos!B293)</f>
        <v/>
      </c>
      <c r="C293">
        <f>IF(Datos!A293="","",IFERROR(MAX(0,N(Datos!D293)),0))</f>
        <v/>
      </c>
      <c r="D293">
        <f>IF(Datos!A293="","",IFERROR(MAX(0,N(Datos!E293)),0))</f>
        <v/>
      </c>
      <c r="E293">
        <f>IF(Datos!A293="","",IFERROR(MAX(0,N(Datos!F293)),0))</f>
        <v/>
      </c>
      <c r="F293">
        <f>IF(Datos!A293="","",IFERROR(MAX(0,N(Datos!G293)),0))</f>
        <v/>
      </c>
      <c r="G293">
        <f>IF(Datos!A293="","",IFERROR(MAX(0,N(Datos!H293)),0))</f>
        <v/>
      </c>
      <c r="H293">
        <f>IF(Datos!A293="","",IFERROR(MAX(0,N(Datos!I293)),0))</f>
        <v/>
      </c>
      <c r="J293">
        <f>IF(Datos!A293="","",IF(MAX(C$2:C$301)-MIN(C$2:C$301)&lt;0.000000001,0.5,(C293-MIN(C$2:C$301))/(MAX(C$2:C$301)-MIN(C$2:C$301)))+0.000000001)</f>
        <v/>
      </c>
      <c r="K293">
        <f>IF(Datos!A293="","",IF(MAX(D$2:D$301)-MIN(D$2:D$301)&lt;0.000000001,0.5,(D293-MIN(D$2:D$301))/(MAX(D$2:D$301)-MIN(D$2:D$301)))+0.000000001)</f>
        <v/>
      </c>
      <c r="L293">
        <f>IF(Datos!A293="","",IF(MAX(E$2:E$301)-MIN(E$2:E$301)&lt;0.000000001,0.5,(E293-MIN(E$2:E$301))/(MAX(E$2:E$301)-MIN(E$2:E$301)))+0.000000001)</f>
        <v/>
      </c>
      <c r="M293">
        <f>IF(Datos!A293="","",IF(MAX(F$2:F$301)-MIN(F$2:F$301)&lt;0.000000001,0.5,(F293-MIN(F$2:F$301))/(MAX(F$2:F$301)-MIN(F$2:F$301)))+0.000000001)</f>
        <v/>
      </c>
      <c r="N293">
        <f>IF(Datos!A293="","",IF(MAX(G$2:G$301)-MIN(G$2:G$301)&lt;0.000000001,0.5,(G293-MIN(G$2:G$301))/(MAX(G$2:G$301)-MIN(G$2:G$301)))+0.000000001)</f>
        <v/>
      </c>
      <c r="O293">
        <f>IF(Datos!A293="","",IF(MAX(H$2:H$301)-MIN(H$2:H$301)&lt;0.000000001,0.5,(H293-MIN(H$2:H$301))/(MAX(H$2:H$301)-MIN(H$2:H$301)))+0.000000001)</f>
        <v/>
      </c>
      <c r="Q293">
        <f>IF(Datos!A293="","",(J293/SUM(J$2:J$301))*LN(J293/SUM(J$2:J$301)))</f>
        <v/>
      </c>
      <c r="R293">
        <f>IF(Datos!A293="","",(K293/SUM(K$2:K$301))*LN(K293/SUM(K$2:K$301)))</f>
        <v/>
      </c>
      <c r="S293">
        <f>IF(Datos!A293="","",(L293/SUM(L$2:L$301))*LN(L293/SUM(L$2:L$301)))</f>
        <v/>
      </c>
      <c r="T293">
        <f>IF(Datos!A293="","",(M293/SUM(M$2:M$301))*LN(M293/SUM(M$2:M$301)))</f>
        <v/>
      </c>
      <c r="U293">
        <f>IF(Datos!A293="","",(N293/SUM(N$2:N$301))*LN(N293/SUM(N$2:N$301)))</f>
        <v/>
      </c>
      <c r="V293">
        <f>IF(Datos!A293="","",(O293/SUM(O$2:O$301))*LN(O293/SUM(O$2:O$301)))</f>
        <v/>
      </c>
      <c r="X293">
        <f>IF(Datos!A293="","",IF(SUMSQ(C$2:C$301)=0,0,C293/SQRT(SUMSQ(C$2:C$301)))*$BE$2)</f>
        <v/>
      </c>
      <c r="Y293">
        <f>IF(Datos!A293="","",IF(SUMSQ(D$2:D$301)=0,0,D293/SQRT(SUMSQ(D$2:D$301)))*$BE$3)</f>
        <v/>
      </c>
      <c r="Z293">
        <f>IF(Datos!A293="","",IF(SUMSQ(E$2:E$301)=0,0,E293/SQRT(SUMSQ(E$2:E$301)))*$BE$4)</f>
        <v/>
      </c>
      <c r="AA293">
        <f>IF(Datos!A293="","",IF(SUMSQ(F$2:F$301)=0,0,F293/SQRT(SUMSQ(F$2:F$301)))*$BE$5)</f>
        <v/>
      </c>
      <c r="AB293">
        <f>IF(Datos!A293="","",IF(SUMSQ(G$2:G$301)=0,0,G293/SQRT(SUMSQ(G$2:G$301)))*$BE$6)</f>
        <v/>
      </c>
      <c r="AC293">
        <f>IF(Datos!A293="","",IF(SUMSQ(H$2:H$301)=0,0,H293/SQRT(SUMSQ(H$2:H$301)))*$BE$7)</f>
        <v/>
      </c>
      <c r="AE293">
        <f>IF(Datos!A293="","",SQRT(SUMXMY2(X293:AC293,$X$303:$AC$303)))</f>
        <v/>
      </c>
      <c r="AF293">
        <f>IF(Datos!A293="","",SQRT(SUMXMY2(X293:AC293,$X$304:$AC$304)))</f>
        <v/>
      </c>
      <c r="AG293" s="11">
        <f>IF(Datos!A293="","",IF(AE293+AF293&lt;0.000000001,0.5,AF293/(AE293+AF293)))</f>
        <v/>
      </c>
      <c r="AH293">
        <f>IF(Datos!A293="","",AG293*MAX(C293*D293,1))</f>
        <v/>
      </c>
      <c r="AI293">
        <f>IF(Datos!A293="","",SUMIF($AH$2:$AH$301,"&gt;="&amp;AH293,$AH$2:$AH$301)/SUM($AH$2:$AH$301))</f>
        <v/>
      </c>
      <c r="AJ293" s="12">
        <f>IF(Datos!A293="","",IF(AI293&lt;=Parametros!$B$13,"A",IF(AI293&lt;=Parametros!$B$14,"B","C")))</f>
        <v/>
      </c>
      <c r="AK293" s="13">
        <f>IF(Datos!A293="","",VLOOKUP(AJ293,Parametros!$A$8:$C$10,2,FALSE))</f>
        <v/>
      </c>
      <c r="AL293">
        <f>IF(Datos!A293="","",VLOOKUP(AJ293,Parametros!$A$8:$C$10,3,FALSE))</f>
        <v/>
      </c>
      <c r="AM293">
        <f>IF(Datos!A293="","",NORMSINV(AK293))</f>
        <v/>
      </c>
      <c r="AN293">
        <f>IF(Datos!A293="","",D293/Parametros!$B$4)</f>
        <v/>
      </c>
      <c r="AO293">
        <f>IF(Datos!A293="","",MAX(0,ROUNDUP(AM293*(AN293*Parametros!$B$3)*SQRT((AL293+E293)),0)))</f>
        <v/>
      </c>
      <c r="AP293">
        <f>IF(Datos!A293="","",MAX(1,ROUNDUP(AN293*(AL293+E293)+AM293*(AN293*Parametros!$B$3)*SQRT((AL293+E293)),0)))</f>
        <v/>
      </c>
      <c r="AQ293">
        <f>IF(Datos!A293="","",IF(Datos!J293="","",Datos!J293))</f>
        <v/>
      </c>
      <c r="AR293">
        <f>IF(OR(Datos!A293="",AQ293=""),"",MAX(0,AQ293-AP293))</f>
        <v/>
      </c>
      <c r="AS293" s="10">
        <f>IF(OR(Datos!A293="",AQ293=""),"",AR293*C293)</f>
        <v/>
      </c>
      <c r="AT293" s="12">
        <f>IF(OR(Datos!A293="",AQ293=""),"",IF(AQ293&lt;AO293,"SI",""))</f>
        <v/>
      </c>
      <c r="AU293">
        <f>IF(Datos!A293="","",IF(AT293="SI","Reponer ahora",IF(AND(AQ293&lt;&gt;"",AR293&gt;0),"Bajar "&amp;TEXT(AR293,"#,##0")&amp;" un.","En rango")))</f>
        <v/>
      </c>
    </row>
    <row r="294">
      <c r="A294">
        <f>IF(Datos!A294="","",Datos!A294)</f>
        <v/>
      </c>
      <c r="B294">
        <f>IF(Datos!A294="","",Datos!B294)</f>
        <v/>
      </c>
      <c r="C294">
        <f>IF(Datos!A294="","",IFERROR(MAX(0,N(Datos!D294)),0))</f>
        <v/>
      </c>
      <c r="D294">
        <f>IF(Datos!A294="","",IFERROR(MAX(0,N(Datos!E294)),0))</f>
        <v/>
      </c>
      <c r="E294">
        <f>IF(Datos!A294="","",IFERROR(MAX(0,N(Datos!F294)),0))</f>
        <v/>
      </c>
      <c r="F294">
        <f>IF(Datos!A294="","",IFERROR(MAX(0,N(Datos!G294)),0))</f>
        <v/>
      </c>
      <c r="G294">
        <f>IF(Datos!A294="","",IFERROR(MAX(0,N(Datos!H294)),0))</f>
        <v/>
      </c>
      <c r="H294">
        <f>IF(Datos!A294="","",IFERROR(MAX(0,N(Datos!I294)),0))</f>
        <v/>
      </c>
      <c r="J294">
        <f>IF(Datos!A294="","",IF(MAX(C$2:C$301)-MIN(C$2:C$301)&lt;0.000000001,0.5,(C294-MIN(C$2:C$301))/(MAX(C$2:C$301)-MIN(C$2:C$301)))+0.000000001)</f>
        <v/>
      </c>
      <c r="K294">
        <f>IF(Datos!A294="","",IF(MAX(D$2:D$301)-MIN(D$2:D$301)&lt;0.000000001,0.5,(D294-MIN(D$2:D$301))/(MAX(D$2:D$301)-MIN(D$2:D$301)))+0.000000001)</f>
        <v/>
      </c>
      <c r="L294">
        <f>IF(Datos!A294="","",IF(MAX(E$2:E$301)-MIN(E$2:E$301)&lt;0.000000001,0.5,(E294-MIN(E$2:E$301))/(MAX(E$2:E$301)-MIN(E$2:E$301)))+0.000000001)</f>
        <v/>
      </c>
      <c r="M294">
        <f>IF(Datos!A294="","",IF(MAX(F$2:F$301)-MIN(F$2:F$301)&lt;0.000000001,0.5,(F294-MIN(F$2:F$301))/(MAX(F$2:F$301)-MIN(F$2:F$301)))+0.000000001)</f>
        <v/>
      </c>
      <c r="N294">
        <f>IF(Datos!A294="","",IF(MAX(G$2:G$301)-MIN(G$2:G$301)&lt;0.000000001,0.5,(G294-MIN(G$2:G$301))/(MAX(G$2:G$301)-MIN(G$2:G$301)))+0.000000001)</f>
        <v/>
      </c>
      <c r="O294">
        <f>IF(Datos!A294="","",IF(MAX(H$2:H$301)-MIN(H$2:H$301)&lt;0.000000001,0.5,(H294-MIN(H$2:H$301))/(MAX(H$2:H$301)-MIN(H$2:H$301)))+0.000000001)</f>
        <v/>
      </c>
      <c r="Q294">
        <f>IF(Datos!A294="","",(J294/SUM(J$2:J$301))*LN(J294/SUM(J$2:J$301)))</f>
        <v/>
      </c>
      <c r="R294">
        <f>IF(Datos!A294="","",(K294/SUM(K$2:K$301))*LN(K294/SUM(K$2:K$301)))</f>
        <v/>
      </c>
      <c r="S294">
        <f>IF(Datos!A294="","",(L294/SUM(L$2:L$301))*LN(L294/SUM(L$2:L$301)))</f>
        <v/>
      </c>
      <c r="T294">
        <f>IF(Datos!A294="","",(M294/SUM(M$2:M$301))*LN(M294/SUM(M$2:M$301)))</f>
        <v/>
      </c>
      <c r="U294">
        <f>IF(Datos!A294="","",(N294/SUM(N$2:N$301))*LN(N294/SUM(N$2:N$301)))</f>
        <v/>
      </c>
      <c r="V294">
        <f>IF(Datos!A294="","",(O294/SUM(O$2:O$301))*LN(O294/SUM(O$2:O$301)))</f>
        <v/>
      </c>
      <c r="X294">
        <f>IF(Datos!A294="","",IF(SUMSQ(C$2:C$301)=0,0,C294/SQRT(SUMSQ(C$2:C$301)))*$BE$2)</f>
        <v/>
      </c>
      <c r="Y294">
        <f>IF(Datos!A294="","",IF(SUMSQ(D$2:D$301)=0,0,D294/SQRT(SUMSQ(D$2:D$301)))*$BE$3)</f>
        <v/>
      </c>
      <c r="Z294">
        <f>IF(Datos!A294="","",IF(SUMSQ(E$2:E$301)=0,0,E294/SQRT(SUMSQ(E$2:E$301)))*$BE$4)</f>
        <v/>
      </c>
      <c r="AA294">
        <f>IF(Datos!A294="","",IF(SUMSQ(F$2:F$301)=0,0,F294/SQRT(SUMSQ(F$2:F$301)))*$BE$5)</f>
        <v/>
      </c>
      <c r="AB294">
        <f>IF(Datos!A294="","",IF(SUMSQ(G$2:G$301)=0,0,G294/SQRT(SUMSQ(G$2:G$301)))*$BE$6)</f>
        <v/>
      </c>
      <c r="AC294">
        <f>IF(Datos!A294="","",IF(SUMSQ(H$2:H$301)=0,0,H294/SQRT(SUMSQ(H$2:H$301)))*$BE$7)</f>
        <v/>
      </c>
      <c r="AE294">
        <f>IF(Datos!A294="","",SQRT(SUMXMY2(X294:AC294,$X$303:$AC$303)))</f>
        <v/>
      </c>
      <c r="AF294">
        <f>IF(Datos!A294="","",SQRT(SUMXMY2(X294:AC294,$X$304:$AC$304)))</f>
        <v/>
      </c>
      <c r="AG294" s="11">
        <f>IF(Datos!A294="","",IF(AE294+AF294&lt;0.000000001,0.5,AF294/(AE294+AF294)))</f>
        <v/>
      </c>
      <c r="AH294">
        <f>IF(Datos!A294="","",AG294*MAX(C294*D294,1))</f>
        <v/>
      </c>
      <c r="AI294">
        <f>IF(Datos!A294="","",SUMIF($AH$2:$AH$301,"&gt;="&amp;AH294,$AH$2:$AH$301)/SUM($AH$2:$AH$301))</f>
        <v/>
      </c>
      <c r="AJ294" s="12">
        <f>IF(Datos!A294="","",IF(AI294&lt;=Parametros!$B$13,"A",IF(AI294&lt;=Parametros!$B$14,"B","C")))</f>
        <v/>
      </c>
      <c r="AK294" s="13">
        <f>IF(Datos!A294="","",VLOOKUP(AJ294,Parametros!$A$8:$C$10,2,FALSE))</f>
        <v/>
      </c>
      <c r="AL294">
        <f>IF(Datos!A294="","",VLOOKUP(AJ294,Parametros!$A$8:$C$10,3,FALSE))</f>
        <v/>
      </c>
      <c r="AM294">
        <f>IF(Datos!A294="","",NORMSINV(AK294))</f>
        <v/>
      </c>
      <c r="AN294">
        <f>IF(Datos!A294="","",D294/Parametros!$B$4)</f>
        <v/>
      </c>
      <c r="AO294">
        <f>IF(Datos!A294="","",MAX(0,ROUNDUP(AM294*(AN294*Parametros!$B$3)*SQRT((AL294+E294)),0)))</f>
        <v/>
      </c>
      <c r="AP294">
        <f>IF(Datos!A294="","",MAX(1,ROUNDUP(AN294*(AL294+E294)+AM294*(AN294*Parametros!$B$3)*SQRT((AL294+E294)),0)))</f>
        <v/>
      </c>
      <c r="AQ294">
        <f>IF(Datos!A294="","",IF(Datos!J294="","",Datos!J294))</f>
        <v/>
      </c>
      <c r="AR294">
        <f>IF(OR(Datos!A294="",AQ294=""),"",MAX(0,AQ294-AP294))</f>
        <v/>
      </c>
      <c r="AS294" s="10">
        <f>IF(OR(Datos!A294="",AQ294=""),"",AR294*C294)</f>
        <v/>
      </c>
      <c r="AT294" s="12">
        <f>IF(OR(Datos!A294="",AQ294=""),"",IF(AQ294&lt;AO294,"SI",""))</f>
        <v/>
      </c>
      <c r="AU294">
        <f>IF(Datos!A294="","",IF(AT294="SI","Reponer ahora",IF(AND(AQ294&lt;&gt;"",AR294&gt;0),"Bajar "&amp;TEXT(AR294,"#,##0")&amp;" un.","En rango")))</f>
        <v/>
      </c>
    </row>
    <row r="295">
      <c r="A295">
        <f>IF(Datos!A295="","",Datos!A295)</f>
        <v/>
      </c>
      <c r="B295">
        <f>IF(Datos!A295="","",Datos!B295)</f>
        <v/>
      </c>
      <c r="C295">
        <f>IF(Datos!A295="","",IFERROR(MAX(0,N(Datos!D295)),0))</f>
        <v/>
      </c>
      <c r="D295">
        <f>IF(Datos!A295="","",IFERROR(MAX(0,N(Datos!E295)),0))</f>
        <v/>
      </c>
      <c r="E295">
        <f>IF(Datos!A295="","",IFERROR(MAX(0,N(Datos!F295)),0))</f>
        <v/>
      </c>
      <c r="F295">
        <f>IF(Datos!A295="","",IFERROR(MAX(0,N(Datos!G295)),0))</f>
        <v/>
      </c>
      <c r="G295">
        <f>IF(Datos!A295="","",IFERROR(MAX(0,N(Datos!H295)),0))</f>
        <v/>
      </c>
      <c r="H295">
        <f>IF(Datos!A295="","",IFERROR(MAX(0,N(Datos!I295)),0))</f>
        <v/>
      </c>
      <c r="J295">
        <f>IF(Datos!A295="","",IF(MAX(C$2:C$301)-MIN(C$2:C$301)&lt;0.000000001,0.5,(C295-MIN(C$2:C$301))/(MAX(C$2:C$301)-MIN(C$2:C$301)))+0.000000001)</f>
        <v/>
      </c>
      <c r="K295">
        <f>IF(Datos!A295="","",IF(MAX(D$2:D$301)-MIN(D$2:D$301)&lt;0.000000001,0.5,(D295-MIN(D$2:D$301))/(MAX(D$2:D$301)-MIN(D$2:D$301)))+0.000000001)</f>
        <v/>
      </c>
      <c r="L295">
        <f>IF(Datos!A295="","",IF(MAX(E$2:E$301)-MIN(E$2:E$301)&lt;0.000000001,0.5,(E295-MIN(E$2:E$301))/(MAX(E$2:E$301)-MIN(E$2:E$301)))+0.000000001)</f>
        <v/>
      </c>
      <c r="M295">
        <f>IF(Datos!A295="","",IF(MAX(F$2:F$301)-MIN(F$2:F$301)&lt;0.000000001,0.5,(F295-MIN(F$2:F$301))/(MAX(F$2:F$301)-MIN(F$2:F$301)))+0.000000001)</f>
        <v/>
      </c>
      <c r="N295">
        <f>IF(Datos!A295="","",IF(MAX(G$2:G$301)-MIN(G$2:G$301)&lt;0.000000001,0.5,(G295-MIN(G$2:G$301))/(MAX(G$2:G$301)-MIN(G$2:G$301)))+0.000000001)</f>
        <v/>
      </c>
      <c r="O295">
        <f>IF(Datos!A295="","",IF(MAX(H$2:H$301)-MIN(H$2:H$301)&lt;0.000000001,0.5,(H295-MIN(H$2:H$301))/(MAX(H$2:H$301)-MIN(H$2:H$301)))+0.000000001)</f>
        <v/>
      </c>
      <c r="Q295">
        <f>IF(Datos!A295="","",(J295/SUM(J$2:J$301))*LN(J295/SUM(J$2:J$301)))</f>
        <v/>
      </c>
      <c r="R295">
        <f>IF(Datos!A295="","",(K295/SUM(K$2:K$301))*LN(K295/SUM(K$2:K$301)))</f>
        <v/>
      </c>
      <c r="S295">
        <f>IF(Datos!A295="","",(L295/SUM(L$2:L$301))*LN(L295/SUM(L$2:L$301)))</f>
        <v/>
      </c>
      <c r="T295">
        <f>IF(Datos!A295="","",(M295/SUM(M$2:M$301))*LN(M295/SUM(M$2:M$301)))</f>
        <v/>
      </c>
      <c r="U295">
        <f>IF(Datos!A295="","",(N295/SUM(N$2:N$301))*LN(N295/SUM(N$2:N$301)))</f>
        <v/>
      </c>
      <c r="V295">
        <f>IF(Datos!A295="","",(O295/SUM(O$2:O$301))*LN(O295/SUM(O$2:O$301)))</f>
        <v/>
      </c>
      <c r="X295">
        <f>IF(Datos!A295="","",IF(SUMSQ(C$2:C$301)=0,0,C295/SQRT(SUMSQ(C$2:C$301)))*$BE$2)</f>
        <v/>
      </c>
      <c r="Y295">
        <f>IF(Datos!A295="","",IF(SUMSQ(D$2:D$301)=0,0,D295/SQRT(SUMSQ(D$2:D$301)))*$BE$3)</f>
        <v/>
      </c>
      <c r="Z295">
        <f>IF(Datos!A295="","",IF(SUMSQ(E$2:E$301)=0,0,E295/SQRT(SUMSQ(E$2:E$301)))*$BE$4)</f>
        <v/>
      </c>
      <c r="AA295">
        <f>IF(Datos!A295="","",IF(SUMSQ(F$2:F$301)=0,0,F295/SQRT(SUMSQ(F$2:F$301)))*$BE$5)</f>
        <v/>
      </c>
      <c r="AB295">
        <f>IF(Datos!A295="","",IF(SUMSQ(G$2:G$301)=0,0,G295/SQRT(SUMSQ(G$2:G$301)))*$BE$6)</f>
        <v/>
      </c>
      <c r="AC295">
        <f>IF(Datos!A295="","",IF(SUMSQ(H$2:H$301)=0,0,H295/SQRT(SUMSQ(H$2:H$301)))*$BE$7)</f>
        <v/>
      </c>
      <c r="AE295">
        <f>IF(Datos!A295="","",SQRT(SUMXMY2(X295:AC295,$X$303:$AC$303)))</f>
        <v/>
      </c>
      <c r="AF295">
        <f>IF(Datos!A295="","",SQRT(SUMXMY2(X295:AC295,$X$304:$AC$304)))</f>
        <v/>
      </c>
      <c r="AG295" s="11">
        <f>IF(Datos!A295="","",IF(AE295+AF295&lt;0.000000001,0.5,AF295/(AE295+AF295)))</f>
        <v/>
      </c>
      <c r="AH295">
        <f>IF(Datos!A295="","",AG295*MAX(C295*D295,1))</f>
        <v/>
      </c>
      <c r="AI295">
        <f>IF(Datos!A295="","",SUMIF($AH$2:$AH$301,"&gt;="&amp;AH295,$AH$2:$AH$301)/SUM($AH$2:$AH$301))</f>
        <v/>
      </c>
      <c r="AJ295" s="12">
        <f>IF(Datos!A295="","",IF(AI295&lt;=Parametros!$B$13,"A",IF(AI295&lt;=Parametros!$B$14,"B","C")))</f>
        <v/>
      </c>
      <c r="AK295" s="13">
        <f>IF(Datos!A295="","",VLOOKUP(AJ295,Parametros!$A$8:$C$10,2,FALSE))</f>
        <v/>
      </c>
      <c r="AL295">
        <f>IF(Datos!A295="","",VLOOKUP(AJ295,Parametros!$A$8:$C$10,3,FALSE))</f>
        <v/>
      </c>
      <c r="AM295">
        <f>IF(Datos!A295="","",NORMSINV(AK295))</f>
        <v/>
      </c>
      <c r="AN295">
        <f>IF(Datos!A295="","",D295/Parametros!$B$4)</f>
        <v/>
      </c>
      <c r="AO295">
        <f>IF(Datos!A295="","",MAX(0,ROUNDUP(AM295*(AN295*Parametros!$B$3)*SQRT((AL295+E295)),0)))</f>
        <v/>
      </c>
      <c r="AP295">
        <f>IF(Datos!A295="","",MAX(1,ROUNDUP(AN295*(AL295+E295)+AM295*(AN295*Parametros!$B$3)*SQRT((AL295+E295)),0)))</f>
        <v/>
      </c>
      <c r="AQ295">
        <f>IF(Datos!A295="","",IF(Datos!J295="","",Datos!J295))</f>
        <v/>
      </c>
      <c r="AR295">
        <f>IF(OR(Datos!A295="",AQ295=""),"",MAX(0,AQ295-AP295))</f>
        <v/>
      </c>
      <c r="AS295" s="10">
        <f>IF(OR(Datos!A295="",AQ295=""),"",AR295*C295)</f>
        <v/>
      </c>
      <c r="AT295" s="12">
        <f>IF(OR(Datos!A295="",AQ295=""),"",IF(AQ295&lt;AO295,"SI",""))</f>
        <v/>
      </c>
      <c r="AU295">
        <f>IF(Datos!A295="","",IF(AT295="SI","Reponer ahora",IF(AND(AQ295&lt;&gt;"",AR295&gt;0),"Bajar "&amp;TEXT(AR295,"#,##0")&amp;" un.","En rango")))</f>
        <v/>
      </c>
    </row>
    <row r="296">
      <c r="A296">
        <f>IF(Datos!A296="","",Datos!A296)</f>
        <v/>
      </c>
      <c r="B296">
        <f>IF(Datos!A296="","",Datos!B296)</f>
        <v/>
      </c>
      <c r="C296">
        <f>IF(Datos!A296="","",IFERROR(MAX(0,N(Datos!D296)),0))</f>
        <v/>
      </c>
      <c r="D296">
        <f>IF(Datos!A296="","",IFERROR(MAX(0,N(Datos!E296)),0))</f>
        <v/>
      </c>
      <c r="E296">
        <f>IF(Datos!A296="","",IFERROR(MAX(0,N(Datos!F296)),0))</f>
        <v/>
      </c>
      <c r="F296">
        <f>IF(Datos!A296="","",IFERROR(MAX(0,N(Datos!G296)),0))</f>
        <v/>
      </c>
      <c r="G296">
        <f>IF(Datos!A296="","",IFERROR(MAX(0,N(Datos!H296)),0))</f>
        <v/>
      </c>
      <c r="H296">
        <f>IF(Datos!A296="","",IFERROR(MAX(0,N(Datos!I296)),0))</f>
        <v/>
      </c>
      <c r="J296">
        <f>IF(Datos!A296="","",IF(MAX(C$2:C$301)-MIN(C$2:C$301)&lt;0.000000001,0.5,(C296-MIN(C$2:C$301))/(MAX(C$2:C$301)-MIN(C$2:C$301)))+0.000000001)</f>
        <v/>
      </c>
      <c r="K296">
        <f>IF(Datos!A296="","",IF(MAX(D$2:D$301)-MIN(D$2:D$301)&lt;0.000000001,0.5,(D296-MIN(D$2:D$301))/(MAX(D$2:D$301)-MIN(D$2:D$301)))+0.000000001)</f>
        <v/>
      </c>
      <c r="L296">
        <f>IF(Datos!A296="","",IF(MAX(E$2:E$301)-MIN(E$2:E$301)&lt;0.000000001,0.5,(E296-MIN(E$2:E$301))/(MAX(E$2:E$301)-MIN(E$2:E$301)))+0.000000001)</f>
        <v/>
      </c>
      <c r="M296">
        <f>IF(Datos!A296="","",IF(MAX(F$2:F$301)-MIN(F$2:F$301)&lt;0.000000001,0.5,(F296-MIN(F$2:F$301))/(MAX(F$2:F$301)-MIN(F$2:F$301)))+0.000000001)</f>
        <v/>
      </c>
      <c r="N296">
        <f>IF(Datos!A296="","",IF(MAX(G$2:G$301)-MIN(G$2:G$301)&lt;0.000000001,0.5,(G296-MIN(G$2:G$301))/(MAX(G$2:G$301)-MIN(G$2:G$301)))+0.000000001)</f>
        <v/>
      </c>
      <c r="O296">
        <f>IF(Datos!A296="","",IF(MAX(H$2:H$301)-MIN(H$2:H$301)&lt;0.000000001,0.5,(H296-MIN(H$2:H$301))/(MAX(H$2:H$301)-MIN(H$2:H$301)))+0.000000001)</f>
        <v/>
      </c>
      <c r="Q296">
        <f>IF(Datos!A296="","",(J296/SUM(J$2:J$301))*LN(J296/SUM(J$2:J$301)))</f>
        <v/>
      </c>
      <c r="R296">
        <f>IF(Datos!A296="","",(K296/SUM(K$2:K$301))*LN(K296/SUM(K$2:K$301)))</f>
        <v/>
      </c>
      <c r="S296">
        <f>IF(Datos!A296="","",(L296/SUM(L$2:L$301))*LN(L296/SUM(L$2:L$301)))</f>
        <v/>
      </c>
      <c r="T296">
        <f>IF(Datos!A296="","",(M296/SUM(M$2:M$301))*LN(M296/SUM(M$2:M$301)))</f>
        <v/>
      </c>
      <c r="U296">
        <f>IF(Datos!A296="","",(N296/SUM(N$2:N$301))*LN(N296/SUM(N$2:N$301)))</f>
        <v/>
      </c>
      <c r="V296">
        <f>IF(Datos!A296="","",(O296/SUM(O$2:O$301))*LN(O296/SUM(O$2:O$301)))</f>
        <v/>
      </c>
      <c r="X296">
        <f>IF(Datos!A296="","",IF(SUMSQ(C$2:C$301)=0,0,C296/SQRT(SUMSQ(C$2:C$301)))*$BE$2)</f>
        <v/>
      </c>
      <c r="Y296">
        <f>IF(Datos!A296="","",IF(SUMSQ(D$2:D$301)=0,0,D296/SQRT(SUMSQ(D$2:D$301)))*$BE$3)</f>
        <v/>
      </c>
      <c r="Z296">
        <f>IF(Datos!A296="","",IF(SUMSQ(E$2:E$301)=0,0,E296/SQRT(SUMSQ(E$2:E$301)))*$BE$4)</f>
        <v/>
      </c>
      <c r="AA296">
        <f>IF(Datos!A296="","",IF(SUMSQ(F$2:F$301)=0,0,F296/SQRT(SUMSQ(F$2:F$301)))*$BE$5)</f>
        <v/>
      </c>
      <c r="AB296">
        <f>IF(Datos!A296="","",IF(SUMSQ(G$2:G$301)=0,0,G296/SQRT(SUMSQ(G$2:G$301)))*$BE$6)</f>
        <v/>
      </c>
      <c r="AC296">
        <f>IF(Datos!A296="","",IF(SUMSQ(H$2:H$301)=0,0,H296/SQRT(SUMSQ(H$2:H$301)))*$BE$7)</f>
        <v/>
      </c>
      <c r="AE296">
        <f>IF(Datos!A296="","",SQRT(SUMXMY2(X296:AC296,$X$303:$AC$303)))</f>
        <v/>
      </c>
      <c r="AF296">
        <f>IF(Datos!A296="","",SQRT(SUMXMY2(X296:AC296,$X$304:$AC$304)))</f>
        <v/>
      </c>
      <c r="AG296" s="11">
        <f>IF(Datos!A296="","",IF(AE296+AF296&lt;0.000000001,0.5,AF296/(AE296+AF296)))</f>
        <v/>
      </c>
      <c r="AH296">
        <f>IF(Datos!A296="","",AG296*MAX(C296*D296,1))</f>
        <v/>
      </c>
      <c r="AI296">
        <f>IF(Datos!A296="","",SUMIF($AH$2:$AH$301,"&gt;="&amp;AH296,$AH$2:$AH$301)/SUM($AH$2:$AH$301))</f>
        <v/>
      </c>
      <c r="AJ296" s="12">
        <f>IF(Datos!A296="","",IF(AI296&lt;=Parametros!$B$13,"A",IF(AI296&lt;=Parametros!$B$14,"B","C")))</f>
        <v/>
      </c>
      <c r="AK296" s="13">
        <f>IF(Datos!A296="","",VLOOKUP(AJ296,Parametros!$A$8:$C$10,2,FALSE))</f>
        <v/>
      </c>
      <c r="AL296">
        <f>IF(Datos!A296="","",VLOOKUP(AJ296,Parametros!$A$8:$C$10,3,FALSE))</f>
        <v/>
      </c>
      <c r="AM296">
        <f>IF(Datos!A296="","",NORMSINV(AK296))</f>
        <v/>
      </c>
      <c r="AN296">
        <f>IF(Datos!A296="","",D296/Parametros!$B$4)</f>
        <v/>
      </c>
      <c r="AO296">
        <f>IF(Datos!A296="","",MAX(0,ROUNDUP(AM296*(AN296*Parametros!$B$3)*SQRT((AL296+E296)),0)))</f>
        <v/>
      </c>
      <c r="AP296">
        <f>IF(Datos!A296="","",MAX(1,ROUNDUP(AN296*(AL296+E296)+AM296*(AN296*Parametros!$B$3)*SQRT((AL296+E296)),0)))</f>
        <v/>
      </c>
      <c r="AQ296">
        <f>IF(Datos!A296="","",IF(Datos!J296="","",Datos!J296))</f>
        <v/>
      </c>
      <c r="AR296">
        <f>IF(OR(Datos!A296="",AQ296=""),"",MAX(0,AQ296-AP296))</f>
        <v/>
      </c>
      <c r="AS296" s="10">
        <f>IF(OR(Datos!A296="",AQ296=""),"",AR296*C296)</f>
        <v/>
      </c>
      <c r="AT296" s="12">
        <f>IF(OR(Datos!A296="",AQ296=""),"",IF(AQ296&lt;AO296,"SI",""))</f>
        <v/>
      </c>
      <c r="AU296">
        <f>IF(Datos!A296="","",IF(AT296="SI","Reponer ahora",IF(AND(AQ296&lt;&gt;"",AR296&gt;0),"Bajar "&amp;TEXT(AR296,"#,##0")&amp;" un.","En rango")))</f>
        <v/>
      </c>
    </row>
    <row r="297">
      <c r="A297">
        <f>IF(Datos!A297="","",Datos!A297)</f>
        <v/>
      </c>
      <c r="B297">
        <f>IF(Datos!A297="","",Datos!B297)</f>
        <v/>
      </c>
      <c r="C297">
        <f>IF(Datos!A297="","",IFERROR(MAX(0,N(Datos!D297)),0))</f>
        <v/>
      </c>
      <c r="D297">
        <f>IF(Datos!A297="","",IFERROR(MAX(0,N(Datos!E297)),0))</f>
        <v/>
      </c>
      <c r="E297">
        <f>IF(Datos!A297="","",IFERROR(MAX(0,N(Datos!F297)),0))</f>
        <v/>
      </c>
      <c r="F297">
        <f>IF(Datos!A297="","",IFERROR(MAX(0,N(Datos!G297)),0))</f>
        <v/>
      </c>
      <c r="G297">
        <f>IF(Datos!A297="","",IFERROR(MAX(0,N(Datos!H297)),0))</f>
        <v/>
      </c>
      <c r="H297">
        <f>IF(Datos!A297="","",IFERROR(MAX(0,N(Datos!I297)),0))</f>
        <v/>
      </c>
      <c r="J297">
        <f>IF(Datos!A297="","",IF(MAX(C$2:C$301)-MIN(C$2:C$301)&lt;0.000000001,0.5,(C297-MIN(C$2:C$301))/(MAX(C$2:C$301)-MIN(C$2:C$301)))+0.000000001)</f>
        <v/>
      </c>
      <c r="K297">
        <f>IF(Datos!A297="","",IF(MAX(D$2:D$301)-MIN(D$2:D$301)&lt;0.000000001,0.5,(D297-MIN(D$2:D$301))/(MAX(D$2:D$301)-MIN(D$2:D$301)))+0.000000001)</f>
        <v/>
      </c>
      <c r="L297">
        <f>IF(Datos!A297="","",IF(MAX(E$2:E$301)-MIN(E$2:E$301)&lt;0.000000001,0.5,(E297-MIN(E$2:E$301))/(MAX(E$2:E$301)-MIN(E$2:E$301)))+0.000000001)</f>
        <v/>
      </c>
      <c r="M297">
        <f>IF(Datos!A297="","",IF(MAX(F$2:F$301)-MIN(F$2:F$301)&lt;0.000000001,0.5,(F297-MIN(F$2:F$301))/(MAX(F$2:F$301)-MIN(F$2:F$301)))+0.000000001)</f>
        <v/>
      </c>
      <c r="N297">
        <f>IF(Datos!A297="","",IF(MAX(G$2:G$301)-MIN(G$2:G$301)&lt;0.000000001,0.5,(G297-MIN(G$2:G$301))/(MAX(G$2:G$301)-MIN(G$2:G$301)))+0.000000001)</f>
        <v/>
      </c>
      <c r="O297">
        <f>IF(Datos!A297="","",IF(MAX(H$2:H$301)-MIN(H$2:H$301)&lt;0.000000001,0.5,(H297-MIN(H$2:H$301))/(MAX(H$2:H$301)-MIN(H$2:H$301)))+0.000000001)</f>
        <v/>
      </c>
      <c r="Q297">
        <f>IF(Datos!A297="","",(J297/SUM(J$2:J$301))*LN(J297/SUM(J$2:J$301)))</f>
        <v/>
      </c>
      <c r="R297">
        <f>IF(Datos!A297="","",(K297/SUM(K$2:K$301))*LN(K297/SUM(K$2:K$301)))</f>
        <v/>
      </c>
      <c r="S297">
        <f>IF(Datos!A297="","",(L297/SUM(L$2:L$301))*LN(L297/SUM(L$2:L$301)))</f>
        <v/>
      </c>
      <c r="T297">
        <f>IF(Datos!A297="","",(M297/SUM(M$2:M$301))*LN(M297/SUM(M$2:M$301)))</f>
        <v/>
      </c>
      <c r="U297">
        <f>IF(Datos!A297="","",(N297/SUM(N$2:N$301))*LN(N297/SUM(N$2:N$301)))</f>
        <v/>
      </c>
      <c r="V297">
        <f>IF(Datos!A297="","",(O297/SUM(O$2:O$301))*LN(O297/SUM(O$2:O$301)))</f>
        <v/>
      </c>
      <c r="X297">
        <f>IF(Datos!A297="","",IF(SUMSQ(C$2:C$301)=0,0,C297/SQRT(SUMSQ(C$2:C$301)))*$BE$2)</f>
        <v/>
      </c>
      <c r="Y297">
        <f>IF(Datos!A297="","",IF(SUMSQ(D$2:D$301)=0,0,D297/SQRT(SUMSQ(D$2:D$301)))*$BE$3)</f>
        <v/>
      </c>
      <c r="Z297">
        <f>IF(Datos!A297="","",IF(SUMSQ(E$2:E$301)=0,0,E297/SQRT(SUMSQ(E$2:E$301)))*$BE$4)</f>
        <v/>
      </c>
      <c r="AA297">
        <f>IF(Datos!A297="","",IF(SUMSQ(F$2:F$301)=0,0,F297/SQRT(SUMSQ(F$2:F$301)))*$BE$5)</f>
        <v/>
      </c>
      <c r="AB297">
        <f>IF(Datos!A297="","",IF(SUMSQ(G$2:G$301)=0,0,G297/SQRT(SUMSQ(G$2:G$301)))*$BE$6)</f>
        <v/>
      </c>
      <c r="AC297">
        <f>IF(Datos!A297="","",IF(SUMSQ(H$2:H$301)=0,0,H297/SQRT(SUMSQ(H$2:H$301)))*$BE$7)</f>
        <v/>
      </c>
      <c r="AE297">
        <f>IF(Datos!A297="","",SQRT(SUMXMY2(X297:AC297,$X$303:$AC$303)))</f>
        <v/>
      </c>
      <c r="AF297">
        <f>IF(Datos!A297="","",SQRT(SUMXMY2(X297:AC297,$X$304:$AC$304)))</f>
        <v/>
      </c>
      <c r="AG297" s="11">
        <f>IF(Datos!A297="","",IF(AE297+AF297&lt;0.000000001,0.5,AF297/(AE297+AF297)))</f>
        <v/>
      </c>
      <c r="AH297">
        <f>IF(Datos!A297="","",AG297*MAX(C297*D297,1))</f>
        <v/>
      </c>
      <c r="AI297">
        <f>IF(Datos!A297="","",SUMIF($AH$2:$AH$301,"&gt;="&amp;AH297,$AH$2:$AH$301)/SUM($AH$2:$AH$301))</f>
        <v/>
      </c>
      <c r="AJ297" s="12">
        <f>IF(Datos!A297="","",IF(AI297&lt;=Parametros!$B$13,"A",IF(AI297&lt;=Parametros!$B$14,"B","C")))</f>
        <v/>
      </c>
      <c r="AK297" s="13">
        <f>IF(Datos!A297="","",VLOOKUP(AJ297,Parametros!$A$8:$C$10,2,FALSE))</f>
        <v/>
      </c>
      <c r="AL297">
        <f>IF(Datos!A297="","",VLOOKUP(AJ297,Parametros!$A$8:$C$10,3,FALSE))</f>
        <v/>
      </c>
      <c r="AM297">
        <f>IF(Datos!A297="","",NORMSINV(AK297))</f>
        <v/>
      </c>
      <c r="AN297">
        <f>IF(Datos!A297="","",D297/Parametros!$B$4)</f>
        <v/>
      </c>
      <c r="AO297">
        <f>IF(Datos!A297="","",MAX(0,ROUNDUP(AM297*(AN297*Parametros!$B$3)*SQRT((AL297+E297)),0)))</f>
        <v/>
      </c>
      <c r="AP297">
        <f>IF(Datos!A297="","",MAX(1,ROUNDUP(AN297*(AL297+E297)+AM297*(AN297*Parametros!$B$3)*SQRT((AL297+E297)),0)))</f>
        <v/>
      </c>
      <c r="AQ297">
        <f>IF(Datos!A297="","",IF(Datos!J297="","",Datos!J297))</f>
        <v/>
      </c>
      <c r="AR297">
        <f>IF(OR(Datos!A297="",AQ297=""),"",MAX(0,AQ297-AP297))</f>
        <v/>
      </c>
      <c r="AS297" s="10">
        <f>IF(OR(Datos!A297="",AQ297=""),"",AR297*C297)</f>
        <v/>
      </c>
      <c r="AT297" s="12">
        <f>IF(OR(Datos!A297="",AQ297=""),"",IF(AQ297&lt;AO297,"SI",""))</f>
        <v/>
      </c>
      <c r="AU297">
        <f>IF(Datos!A297="","",IF(AT297="SI","Reponer ahora",IF(AND(AQ297&lt;&gt;"",AR297&gt;0),"Bajar "&amp;TEXT(AR297,"#,##0")&amp;" un.","En rango")))</f>
        <v/>
      </c>
    </row>
    <row r="298">
      <c r="A298">
        <f>IF(Datos!A298="","",Datos!A298)</f>
        <v/>
      </c>
      <c r="B298">
        <f>IF(Datos!A298="","",Datos!B298)</f>
        <v/>
      </c>
      <c r="C298">
        <f>IF(Datos!A298="","",IFERROR(MAX(0,N(Datos!D298)),0))</f>
        <v/>
      </c>
      <c r="D298">
        <f>IF(Datos!A298="","",IFERROR(MAX(0,N(Datos!E298)),0))</f>
        <v/>
      </c>
      <c r="E298">
        <f>IF(Datos!A298="","",IFERROR(MAX(0,N(Datos!F298)),0))</f>
        <v/>
      </c>
      <c r="F298">
        <f>IF(Datos!A298="","",IFERROR(MAX(0,N(Datos!G298)),0))</f>
        <v/>
      </c>
      <c r="G298">
        <f>IF(Datos!A298="","",IFERROR(MAX(0,N(Datos!H298)),0))</f>
        <v/>
      </c>
      <c r="H298">
        <f>IF(Datos!A298="","",IFERROR(MAX(0,N(Datos!I298)),0))</f>
        <v/>
      </c>
      <c r="J298">
        <f>IF(Datos!A298="","",IF(MAX(C$2:C$301)-MIN(C$2:C$301)&lt;0.000000001,0.5,(C298-MIN(C$2:C$301))/(MAX(C$2:C$301)-MIN(C$2:C$301)))+0.000000001)</f>
        <v/>
      </c>
      <c r="K298">
        <f>IF(Datos!A298="","",IF(MAX(D$2:D$301)-MIN(D$2:D$301)&lt;0.000000001,0.5,(D298-MIN(D$2:D$301))/(MAX(D$2:D$301)-MIN(D$2:D$301)))+0.000000001)</f>
        <v/>
      </c>
      <c r="L298">
        <f>IF(Datos!A298="","",IF(MAX(E$2:E$301)-MIN(E$2:E$301)&lt;0.000000001,0.5,(E298-MIN(E$2:E$301))/(MAX(E$2:E$301)-MIN(E$2:E$301)))+0.000000001)</f>
        <v/>
      </c>
      <c r="M298">
        <f>IF(Datos!A298="","",IF(MAX(F$2:F$301)-MIN(F$2:F$301)&lt;0.000000001,0.5,(F298-MIN(F$2:F$301))/(MAX(F$2:F$301)-MIN(F$2:F$301)))+0.000000001)</f>
        <v/>
      </c>
      <c r="N298">
        <f>IF(Datos!A298="","",IF(MAX(G$2:G$301)-MIN(G$2:G$301)&lt;0.000000001,0.5,(G298-MIN(G$2:G$301))/(MAX(G$2:G$301)-MIN(G$2:G$301)))+0.000000001)</f>
        <v/>
      </c>
      <c r="O298">
        <f>IF(Datos!A298="","",IF(MAX(H$2:H$301)-MIN(H$2:H$301)&lt;0.000000001,0.5,(H298-MIN(H$2:H$301))/(MAX(H$2:H$301)-MIN(H$2:H$301)))+0.000000001)</f>
        <v/>
      </c>
      <c r="Q298">
        <f>IF(Datos!A298="","",(J298/SUM(J$2:J$301))*LN(J298/SUM(J$2:J$301)))</f>
        <v/>
      </c>
      <c r="R298">
        <f>IF(Datos!A298="","",(K298/SUM(K$2:K$301))*LN(K298/SUM(K$2:K$301)))</f>
        <v/>
      </c>
      <c r="S298">
        <f>IF(Datos!A298="","",(L298/SUM(L$2:L$301))*LN(L298/SUM(L$2:L$301)))</f>
        <v/>
      </c>
      <c r="T298">
        <f>IF(Datos!A298="","",(M298/SUM(M$2:M$301))*LN(M298/SUM(M$2:M$301)))</f>
        <v/>
      </c>
      <c r="U298">
        <f>IF(Datos!A298="","",(N298/SUM(N$2:N$301))*LN(N298/SUM(N$2:N$301)))</f>
        <v/>
      </c>
      <c r="V298">
        <f>IF(Datos!A298="","",(O298/SUM(O$2:O$301))*LN(O298/SUM(O$2:O$301)))</f>
        <v/>
      </c>
      <c r="X298">
        <f>IF(Datos!A298="","",IF(SUMSQ(C$2:C$301)=0,0,C298/SQRT(SUMSQ(C$2:C$301)))*$BE$2)</f>
        <v/>
      </c>
      <c r="Y298">
        <f>IF(Datos!A298="","",IF(SUMSQ(D$2:D$301)=0,0,D298/SQRT(SUMSQ(D$2:D$301)))*$BE$3)</f>
        <v/>
      </c>
      <c r="Z298">
        <f>IF(Datos!A298="","",IF(SUMSQ(E$2:E$301)=0,0,E298/SQRT(SUMSQ(E$2:E$301)))*$BE$4)</f>
        <v/>
      </c>
      <c r="AA298">
        <f>IF(Datos!A298="","",IF(SUMSQ(F$2:F$301)=0,0,F298/SQRT(SUMSQ(F$2:F$301)))*$BE$5)</f>
        <v/>
      </c>
      <c r="AB298">
        <f>IF(Datos!A298="","",IF(SUMSQ(G$2:G$301)=0,0,G298/SQRT(SUMSQ(G$2:G$301)))*$BE$6)</f>
        <v/>
      </c>
      <c r="AC298">
        <f>IF(Datos!A298="","",IF(SUMSQ(H$2:H$301)=0,0,H298/SQRT(SUMSQ(H$2:H$301)))*$BE$7)</f>
        <v/>
      </c>
      <c r="AE298">
        <f>IF(Datos!A298="","",SQRT(SUMXMY2(X298:AC298,$X$303:$AC$303)))</f>
        <v/>
      </c>
      <c r="AF298">
        <f>IF(Datos!A298="","",SQRT(SUMXMY2(X298:AC298,$X$304:$AC$304)))</f>
        <v/>
      </c>
      <c r="AG298" s="11">
        <f>IF(Datos!A298="","",IF(AE298+AF298&lt;0.000000001,0.5,AF298/(AE298+AF298)))</f>
        <v/>
      </c>
      <c r="AH298">
        <f>IF(Datos!A298="","",AG298*MAX(C298*D298,1))</f>
        <v/>
      </c>
      <c r="AI298">
        <f>IF(Datos!A298="","",SUMIF($AH$2:$AH$301,"&gt;="&amp;AH298,$AH$2:$AH$301)/SUM($AH$2:$AH$301))</f>
        <v/>
      </c>
      <c r="AJ298" s="12">
        <f>IF(Datos!A298="","",IF(AI298&lt;=Parametros!$B$13,"A",IF(AI298&lt;=Parametros!$B$14,"B","C")))</f>
        <v/>
      </c>
      <c r="AK298" s="13">
        <f>IF(Datos!A298="","",VLOOKUP(AJ298,Parametros!$A$8:$C$10,2,FALSE))</f>
        <v/>
      </c>
      <c r="AL298">
        <f>IF(Datos!A298="","",VLOOKUP(AJ298,Parametros!$A$8:$C$10,3,FALSE))</f>
        <v/>
      </c>
      <c r="AM298">
        <f>IF(Datos!A298="","",NORMSINV(AK298))</f>
        <v/>
      </c>
      <c r="AN298">
        <f>IF(Datos!A298="","",D298/Parametros!$B$4)</f>
        <v/>
      </c>
      <c r="AO298">
        <f>IF(Datos!A298="","",MAX(0,ROUNDUP(AM298*(AN298*Parametros!$B$3)*SQRT((AL298+E298)),0)))</f>
        <v/>
      </c>
      <c r="AP298">
        <f>IF(Datos!A298="","",MAX(1,ROUNDUP(AN298*(AL298+E298)+AM298*(AN298*Parametros!$B$3)*SQRT((AL298+E298)),0)))</f>
        <v/>
      </c>
      <c r="AQ298">
        <f>IF(Datos!A298="","",IF(Datos!J298="","",Datos!J298))</f>
        <v/>
      </c>
      <c r="AR298">
        <f>IF(OR(Datos!A298="",AQ298=""),"",MAX(0,AQ298-AP298))</f>
        <v/>
      </c>
      <c r="AS298" s="10">
        <f>IF(OR(Datos!A298="",AQ298=""),"",AR298*C298)</f>
        <v/>
      </c>
      <c r="AT298" s="12">
        <f>IF(OR(Datos!A298="",AQ298=""),"",IF(AQ298&lt;AO298,"SI",""))</f>
        <v/>
      </c>
      <c r="AU298">
        <f>IF(Datos!A298="","",IF(AT298="SI","Reponer ahora",IF(AND(AQ298&lt;&gt;"",AR298&gt;0),"Bajar "&amp;TEXT(AR298,"#,##0")&amp;" un.","En rango")))</f>
        <v/>
      </c>
    </row>
    <row r="299">
      <c r="A299">
        <f>IF(Datos!A299="","",Datos!A299)</f>
        <v/>
      </c>
      <c r="B299">
        <f>IF(Datos!A299="","",Datos!B299)</f>
        <v/>
      </c>
      <c r="C299">
        <f>IF(Datos!A299="","",IFERROR(MAX(0,N(Datos!D299)),0))</f>
        <v/>
      </c>
      <c r="D299">
        <f>IF(Datos!A299="","",IFERROR(MAX(0,N(Datos!E299)),0))</f>
        <v/>
      </c>
      <c r="E299">
        <f>IF(Datos!A299="","",IFERROR(MAX(0,N(Datos!F299)),0))</f>
        <v/>
      </c>
      <c r="F299">
        <f>IF(Datos!A299="","",IFERROR(MAX(0,N(Datos!G299)),0))</f>
        <v/>
      </c>
      <c r="G299">
        <f>IF(Datos!A299="","",IFERROR(MAX(0,N(Datos!H299)),0))</f>
        <v/>
      </c>
      <c r="H299">
        <f>IF(Datos!A299="","",IFERROR(MAX(0,N(Datos!I299)),0))</f>
        <v/>
      </c>
      <c r="J299">
        <f>IF(Datos!A299="","",IF(MAX(C$2:C$301)-MIN(C$2:C$301)&lt;0.000000001,0.5,(C299-MIN(C$2:C$301))/(MAX(C$2:C$301)-MIN(C$2:C$301)))+0.000000001)</f>
        <v/>
      </c>
      <c r="K299">
        <f>IF(Datos!A299="","",IF(MAX(D$2:D$301)-MIN(D$2:D$301)&lt;0.000000001,0.5,(D299-MIN(D$2:D$301))/(MAX(D$2:D$301)-MIN(D$2:D$301)))+0.000000001)</f>
        <v/>
      </c>
      <c r="L299">
        <f>IF(Datos!A299="","",IF(MAX(E$2:E$301)-MIN(E$2:E$301)&lt;0.000000001,0.5,(E299-MIN(E$2:E$301))/(MAX(E$2:E$301)-MIN(E$2:E$301)))+0.000000001)</f>
        <v/>
      </c>
      <c r="M299">
        <f>IF(Datos!A299="","",IF(MAX(F$2:F$301)-MIN(F$2:F$301)&lt;0.000000001,0.5,(F299-MIN(F$2:F$301))/(MAX(F$2:F$301)-MIN(F$2:F$301)))+0.000000001)</f>
        <v/>
      </c>
      <c r="N299">
        <f>IF(Datos!A299="","",IF(MAX(G$2:G$301)-MIN(G$2:G$301)&lt;0.000000001,0.5,(G299-MIN(G$2:G$301))/(MAX(G$2:G$301)-MIN(G$2:G$301)))+0.000000001)</f>
        <v/>
      </c>
      <c r="O299">
        <f>IF(Datos!A299="","",IF(MAX(H$2:H$301)-MIN(H$2:H$301)&lt;0.000000001,0.5,(H299-MIN(H$2:H$301))/(MAX(H$2:H$301)-MIN(H$2:H$301)))+0.000000001)</f>
        <v/>
      </c>
      <c r="Q299">
        <f>IF(Datos!A299="","",(J299/SUM(J$2:J$301))*LN(J299/SUM(J$2:J$301)))</f>
        <v/>
      </c>
      <c r="R299">
        <f>IF(Datos!A299="","",(K299/SUM(K$2:K$301))*LN(K299/SUM(K$2:K$301)))</f>
        <v/>
      </c>
      <c r="S299">
        <f>IF(Datos!A299="","",(L299/SUM(L$2:L$301))*LN(L299/SUM(L$2:L$301)))</f>
        <v/>
      </c>
      <c r="T299">
        <f>IF(Datos!A299="","",(M299/SUM(M$2:M$301))*LN(M299/SUM(M$2:M$301)))</f>
        <v/>
      </c>
      <c r="U299">
        <f>IF(Datos!A299="","",(N299/SUM(N$2:N$301))*LN(N299/SUM(N$2:N$301)))</f>
        <v/>
      </c>
      <c r="V299">
        <f>IF(Datos!A299="","",(O299/SUM(O$2:O$301))*LN(O299/SUM(O$2:O$301)))</f>
        <v/>
      </c>
      <c r="X299">
        <f>IF(Datos!A299="","",IF(SUMSQ(C$2:C$301)=0,0,C299/SQRT(SUMSQ(C$2:C$301)))*$BE$2)</f>
        <v/>
      </c>
      <c r="Y299">
        <f>IF(Datos!A299="","",IF(SUMSQ(D$2:D$301)=0,0,D299/SQRT(SUMSQ(D$2:D$301)))*$BE$3)</f>
        <v/>
      </c>
      <c r="Z299">
        <f>IF(Datos!A299="","",IF(SUMSQ(E$2:E$301)=0,0,E299/SQRT(SUMSQ(E$2:E$301)))*$BE$4)</f>
        <v/>
      </c>
      <c r="AA299">
        <f>IF(Datos!A299="","",IF(SUMSQ(F$2:F$301)=0,0,F299/SQRT(SUMSQ(F$2:F$301)))*$BE$5)</f>
        <v/>
      </c>
      <c r="AB299">
        <f>IF(Datos!A299="","",IF(SUMSQ(G$2:G$301)=0,0,G299/SQRT(SUMSQ(G$2:G$301)))*$BE$6)</f>
        <v/>
      </c>
      <c r="AC299">
        <f>IF(Datos!A299="","",IF(SUMSQ(H$2:H$301)=0,0,H299/SQRT(SUMSQ(H$2:H$301)))*$BE$7)</f>
        <v/>
      </c>
      <c r="AE299">
        <f>IF(Datos!A299="","",SQRT(SUMXMY2(X299:AC299,$X$303:$AC$303)))</f>
        <v/>
      </c>
      <c r="AF299">
        <f>IF(Datos!A299="","",SQRT(SUMXMY2(X299:AC299,$X$304:$AC$304)))</f>
        <v/>
      </c>
      <c r="AG299" s="11">
        <f>IF(Datos!A299="","",IF(AE299+AF299&lt;0.000000001,0.5,AF299/(AE299+AF299)))</f>
        <v/>
      </c>
      <c r="AH299">
        <f>IF(Datos!A299="","",AG299*MAX(C299*D299,1))</f>
        <v/>
      </c>
      <c r="AI299">
        <f>IF(Datos!A299="","",SUMIF($AH$2:$AH$301,"&gt;="&amp;AH299,$AH$2:$AH$301)/SUM($AH$2:$AH$301))</f>
        <v/>
      </c>
      <c r="AJ299" s="12">
        <f>IF(Datos!A299="","",IF(AI299&lt;=Parametros!$B$13,"A",IF(AI299&lt;=Parametros!$B$14,"B","C")))</f>
        <v/>
      </c>
      <c r="AK299" s="13">
        <f>IF(Datos!A299="","",VLOOKUP(AJ299,Parametros!$A$8:$C$10,2,FALSE))</f>
        <v/>
      </c>
      <c r="AL299">
        <f>IF(Datos!A299="","",VLOOKUP(AJ299,Parametros!$A$8:$C$10,3,FALSE))</f>
        <v/>
      </c>
      <c r="AM299">
        <f>IF(Datos!A299="","",NORMSINV(AK299))</f>
        <v/>
      </c>
      <c r="AN299">
        <f>IF(Datos!A299="","",D299/Parametros!$B$4)</f>
        <v/>
      </c>
      <c r="AO299">
        <f>IF(Datos!A299="","",MAX(0,ROUNDUP(AM299*(AN299*Parametros!$B$3)*SQRT((AL299+E299)),0)))</f>
        <v/>
      </c>
      <c r="AP299">
        <f>IF(Datos!A299="","",MAX(1,ROUNDUP(AN299*(AL299+E299)+AM299*(AN299*Parametros!$B$3)*SQRT((AL299+E299)),0)))</f>
        <v/>
      </c>
      <c r="AQ299">
        <f>IF(Datos!A299="","",IF(Datos!J299="","",Datos!J299))</f>
        <v/>
      </c>
      <c r="AR299">
        <f>IF(OR(Datos!A299="",AQ299=""),"",MAX(0,AQ299-AP299))</f>
        <v/>
      </c>
      <c r="AS299" s="10">
        <f>IF(OR(Datos!A299="",AQ299=""),"",AR299*C299)</f>
        <v/>
      </c>
      <c r="AT299" s="12">
        <f>IF(OR(Datos!A299="",AQ299=""),"",IF(AQ299&lt;AO299,"SI",""))</f>
        <v/>
      </c>
      <c r="AU299">
        <f>IF(Datos!A299="","",IF(AT299="SI","Reponer ahora",IF(AND(AQ299&lt;&gt;"",AR299&gt;0),"Bajar "&amp;TEXT(AR299,"#,##0")&amp;" un.","En rango")))</f>
        <v/>
      </c>
    </row>
    <row r="300">
      <c r="A300">
        <f>IF(Datos!A300="","",Datos!A300)</f>
        <v/>
      </c>
      <c r="B300">
        <f>IF(Datos!A300="","",Datos!B300)</f>
        <v/>
      </c>
      <c r="C300">
        <f>IF(Datos!A300="","",IFERROR(MAX(0,N(Datos!D300)),0))</f>
        <v/>
      </c>
      <c r="D300">
        <f>IF(Datos!A300="","",IFERROR(MAX(0,N(Datos!E300)),0))</f>
        <v/>
      </c>
      <c r="E300">
        <f>IF(Datos!A300="","",IFERROR(MAX(0,N(Datos!F300)),0))</f>
        <v/>
      </c>
      <c r="F300">
        <f>IF(Datos!A300="","",IFERROR(MAX(0,N(Datos!G300)),0))</f>
        <v/>
      </c>
      <c r="G300">
        <f>IF(Datos!A300="","",IFERROR(MAX(0,N(Datos!H300)),0))</f>
        <v/>
      </c>
      <c r="H300">
        <f>IF(Datos!A300="","",IFERROR(MAX(0,N(Datos!I300)),0))</f>
        <v/>
      </c>
      <c r="J300">
        <f>IF(Datos!A300="","",IF(MAX(C$2:C$301)-MIN(C$2:C$301)&lt;0.000000001,0.5,(C300-MIN(C$2:C$301))/(MAX(C$2:C$301)-MIN(C$2:C$301)))+0.000000001)</f>
        <v/>
      </c>
      <c r="K300">
        <f>IF(Datos!A300="","",IF(MAX(D$2:D$301)-MIN(D$2:D$301)&lt;0.000000001,0.5,(D300-MIN(D$2:D$301))/(MAX(D$2:D$301)-MIN(D$2:D$301)))+0.000000001)</f>
        <v/>
      </c>
      <c r="L300">
        <f>IF(Datos!A300="","",IF(MAX(E$2:E$301)-MIN(E$2:E$301)&lt;0.000000001,0.5,(E300-MIN(E$2:E$301))/(MAX(E$2:E$301)-MIN(E$2:E$301)))+0.000000001)</f>
        <v/>
      </c>
      <c r="M300">
        <f>IF(Datos!A300="","",IF(MAX(F$2:F$301)-MIN(F$2:F$301)&lt;0.000000001,0.5,(F300-MIN(F$2:F$301))/(MAX(F$2:F$301)-MIN(F$2:F$301)))+0.000000001)</f>
        <v/>
      </c>
      <c r="N300">
        <f>IF(Datos!A300="","",IF(MAX(G$2:G$301)-MIN(G$2:G$301)&lt;0.000000001,0.5,(G300-MIN(G$2:G$301))/(MAX(G$2:G$301)-MIN(G$2:G$301)))+0.000000001)</f>
        <v/>
      </c>
      <c r="O300">
        <f>IF(Datos!A300="","",IF(MAX(H$2:H$301)-MIN(H$2:H$301)&lt;0.000000001,0.5,(H300-MIN(H$2:H$301))/(MAX(H$2:H$301)-MIN(H$2:H$301)))+0.000000001)</f>
        <v/>
      </c>
      <c r="Q300">
        <f>IF(Datos!A300="","",(J300/SUM(J$2:J$301))*LN(J300/SUM(J$2:J$301)))</f>
        <v/>
      </c>
      <c r="R300">
        <f>IF(Datos!A300="","",(K300/SUM(K$2:K$301))*LN(K300/SUM(K$2:K$301)))</f>
        <v/>
      </c>
      <c r="S300">
        <f>IF(Datos!A300="","",(L300/SUM(L$2:L$301))*LN(L300/SUM(L$2:L$301)))</f>
        <v/>
      </c>
      <c r="T300">
        <f>IF(Datos!A300="","",(M300/SUM(M$2:M$301))*LN(M300/SUM(M$2:M$301)))</f>
        <v/>
      </c>
      <c r="U300">
        <f>IF(Datos!A300="","",(N300/SUM(N$2:N$301))*LN(N300/SUM(N$2:N$301)))</f>
        <v/>
      </c>
      <c r="V300">
        <f>IF(Datos!A300="","",(O300/SUM(O$2:O$301))*LN(O300/SUM(O$2:O$301)))</f>
        <v/>
      </c>
      <c r="X300">
        <f>IF(Datos!A300="","",IF(SUMSQ(C$2:C$301)=0,0,C300/SQRT(SUMSQ(C$2:C$301)))*$BE$2)</f>
        <v/>
      </c>
      <c r="Y300">
        <f>IF(Datos!A300="","",IF(SUMSQ(D$2:D$301)=0,0,D300/SQRT(SUMSQ(D$2:D$301)))*$BE$3)</f>
        <v/>
      </c>
      <c r="Z300">
        <f>IF(Datos!A300="","",IF(SUMSQ(E$2:E$301)=0,0,E300/SQRT(SUMSQ(E$2:E$301)))*$BE$4)</f>
        <v/>
      </c>
      <c r="AA300">
        <f>IF(Datos!A300="","",IF(SUMSQ(F$2:F$301)=0,0,F300/SQRT(SUMSQ(F$2:F$301)))*$BE$5)</f>
        <v/>
      </c>
      <c r="AB300">
        <f>IF(Datos!A300="","",IF(SUMSQ(G$2:G$301)=0,0,G300/SQRT(SUMSQ(G$2:G$301)))*$BE$6)</f>
        <v/>
      </c>
      <c r="AC300">
        <f>IF(Datos!A300="","",IF(SUMSQ(H$2:H$301)=0,0,H300/SQRT(SUMSQ(H$2:H$301)))*$BE$7)</f>
        <v/>
      </c>
      <c r="AE300">
        <f>IF(Datos!A300="","",SQRT(SUMXMY2(X300:AC300,$X$303:$AC$303)))</f>
        <v/>
      </c>
      <c r="AF300">
        <f>IF(Datos!A300="","",SQRT(SUMXMY2(X300:AC300,$X$304:$AC$304)))</f>
        <v/>
      </c>
      <c r="AG300" s="11">
        <f>IF(Datos!A300="","",IF(AE300+AF300&lt;0.000000001,0.5,AF300/(AE300+AF300)))</f>
        <v/>
      </c>
      <c r="AH300">
        <f>IF(Datos!A300="","",AG300*MAX(C300*D300,1))</f>
        <v/>
      </c>
      <c r="AI300">
        <f>IF(Datos!A300="","",SUMIF($AH$2:$AH$301,"&gt;="&amp;AH300,$AH$2:$AH$301)/SUM($AH$2:$AH$301))</f>
        <v/>
      </c>
      <c r="AJ300" s="12">
        <f>IF(Datos!A300="","",IF(AI300&lt;=Parametros!$B$13,"A",IF(AI300&lt;=Parametros!$B$14,"B","C")))</f>
        <v/>
      </c>
      <c r="AK300" s="13">
        <f>IF(Datos!A300="","",VLOOKUP(AJ300,Parametros!$A$8:$C$10,2,FALSE))</f>
        <v/>
      </c>
      <c r="AL300">
        <f>IF(Datos!A300="","",VLOOKUP(AJ300,Parametros!$A$8:$C$10,3,FALSE))</f>
        <v/>
      </c>
      <c r="AM300">
        <f>IF(Datos!A300="","",NORMSINV(AK300))</f>
        <v/>
      </c>
      <c r="AN300">
        <f>IF(Datos!A300="","",D300/Parametros!$B$4)</f>
        <v/>
      </c>
      <c r="AO300">
        <f>IF(Datos!A300="","",MAX(0,ROUNDUP(AM300*(AN300*Parametros!$B$3)*SQRT((AL300+E300)),0)))</f>
        <v/>
      </c>
      <c r="AP300">
        <f>IF(Datos!A300="","",MAX(1,ROUNDUP(AN300*(AL300+E300)+AM300*(AN300*Parametros!$B$3)*SQRT((AL300+E300)),0)))</f>
        <v/>
      </c>
      <c r="AQ300">
        <f>IF(Datos!A300="","",IF(Datos!J300="","",Datos!J300))</f>
        <v/>
      </c>
      <c r="AR300">
        <f>IF(OR(Datos!A300="",AQ300=""),"",MAX(0,AQ300-AP300))</f>
        <v/>
      </c>
      <c r="AS300" s="10">
        <f>IF(OR(Datos!A300="",AQ300=""),"",AR300*C300)</f>
        <v/>
      </c>
      <c r="AT300" s="12">
        <f>IF(OR(Datos!A300="",AQ300=""),"",IF(AQ300&lt;AO300,"SI",""))</f>
        <v/>
      </c>
      <c r="AU300">
        <f>IF(Datos!A300="","",IF(AT300="SI","Reponer ahora",IF(AND(AQ300&lt;&gt;"",AR300&gt;0),"Bajar "&amp;TEXT(AR300,"#,##0")&amp;" un.","En rango")))</f>
        <v/>
      </c>
    </row>
    <row r="301">
      <c r="A301">
        <f>IF(Datos!A301="","",Datos!A301)</f>
        <v/>
      </c>
      <c r="B301">
        <f>IF(Datos!A301="","",Datos!B301)</f>
        <v/>
      </c>
      <c r="C301">
        <f>IF(Datos!A301="","",IFERROR(MAX(0,N(Datos!D301)),0))</f>
        <v/>
      </c>
      <c r="D301">
        <f>IF(Datos!A301="","",IFERROR(MAX(0,N(Datos!E301)),0))</f>
        <v/>
      </c>
      <c r="E301">
        <f>IF(Datos!A301="","",IFERROR(MAX(0,N(Datos!F301)),0))</f>
        <v/>
      </c>
      <c r="F301">
        <f>IF(Datos!A301="","",IFERROR(MAX(0,N(Datos!G301)),0))</f>
        <v/>
      </c>
      <c r="G301">
        <f>IF(Datos!A301="","",IFERROR(MAX(0,N(Datos!H301)),0))</f>
        <v/>
      </c>
      <c r="H301">
        <f>IF(Datos!A301="","",IFERROR(MAX(0,N(Datos!I301)),0))</f>
        <v/>
      </c>
      <c r="J301">
        <f>IF(Datos!A301="","",IF(MAX(C$2:C$301)-MIN(C$2:C$301)&lt;0.000000001,0.5,(C301-MIN(C$2:C$301))/(MAX(C$2:C$301)-MIN(C$2:C$301)))+0.000000001)</f>
        <v/>
      </c>
      <c r="K301">
        <f>IF(Datos!A301="","",IF(MAX(D$2:D$301)-MIN(D$2:D$301)&lt;0.000000001,0.5,(D301-MIN(D$2:D$301))/(MAX(D$2:D$301)-MIN(D$2:D$301)))+0.000000001)</f>
        <v/>
      </c>
      <c r="L301">
        <f>IF(Datos!A301="","",IF(MAX(E$2:E$301)-MIN(E$2:E$301)&lt;0.000000001,0.5,(E301-MIN(E$2:E$301))/(MAX(E$2:E$301)-MIN(E$2:E$301)))+0.000000001)</f>
        <v/>
      </c>
      <c r="M301">
        <f>IF(Datos!A301="","",IF(MAX(F$2:F$301)-MIN(F$2:F$301)&lt;0.000000001,0.5,(F301-MIN(F$2:F$301))/(MAX(F$2:F$301)-MIN(F$2:F$301)))+0.000000001)</f>
        <v/>
      </c>
      <c r="N301">
        <f>IF(Datos!A301="","",IF(MAX(G$2:G$301)-MIN(G$2:G$301)&lt;0.000000001,0.5,(G301-MIN(G$2:G$301))/(MAX(G$2:G$301)-MIN(G$2:G$301)))+0.000000001)</f>
        <v/>
      </c>
      <c r="O301">
        <f>IF(Datos!A301="","",IF(MAX(H$2:H$301)-MIN(H$2:H$301)&lt;0.000000001,0.5,(H301-MIN(H$2:H$301))/(MAX(H$2:H$301)-MIN(H$2:H$301)))+0.000000001)</f>
        <v/>
      </c>
      <c r="Q301">
        <f>IF(Datos!A301="","",(J301/SUM(J$2:J$301))*LN(J301/SUM(J$2:J$301)))</f>
        <v/>
      </c>
      <c r="R301">
        <f>IF(Datos!A301="","",(K301/SUM(K$2:K$301))*LN(K301/SUM(K$2:K$301)))</f>
        <v/>
      </c>
      <c r="S301">
        <f>IF(Datos!A301="","",(L301/SUM(L$2:L$301))*LN(L301/SUM(L$2:L$301)))</f>
        <v/>
      </c>
      <c r="T301">
        <f>IF(Datos!A301="","",(M301/SUM(M$2:M$301))*LN(M301/SUM(M$2:M$301)))</f>
        <v/>
      </c>
      <c r="U301">
        <f>IF(Datos!A301="","",(N301/SUM(N$2:N$301))*LN(N301/SUM(N$2:N$301)))</f>
        <v/>
      </c>
      <c r="V301">
        <f>IF(Datos!A301="","",(O301/SUM(O$2:O$301))*LN(O301/SUM(O$2:O$301)))</f>
        <v/>
      </c>
      <c r="X301">
        <f>IF(Datos!A301="","",IF(SUMSQ(C$2:C$301)=0,0,C301/SQRT(SUMSQ(C$2:C$301)))*$BE$2)</f>
        <v/>
      </c>
      <c r="Y301">
        <f>IF(Datos!A301="","",IF(SUMSQ(D$2:D$301)=0,0,D301/SQRT(SUMSQ(D$2:D$301)))*$BE$3)</f>
        <v/>
      </c>
      <c r="Z301">
        <f>IF(Datos!A301="","",IF(SUMSQ(E$2:E$301)=0,0,E301/SQRT(SUMSQ(E$2:E$301)))*$BE$4)</f>
        <v/>
      </c>
      <c r="AA301">
        <f>IF(Datos!A301="","",IF(SUMSQ(F$2:F$301)=0,0,F301/SQRT(SUMSQ(F$2:F$301)))*$BE$5)</f>
        <v/>
      </c>
      <c r="AB301">
        <f>IF(Datos!A301="","",IF(SUMSQ(G$2:G$301)=0,0,G301/SQRT(SUMSQ(G$2:G$301)))*$BE$6)</f>
        <v/>
      </c>
      <c r="AC301">
        <f>IF(Datos!A301="","",IF(SUMSQ(H$2:H$301)=0,0,H301/SQRT(SUMSQ(H$2:H$301)))*$BE$7)</f>
        <v/>
      </c>
      <c r="AE301">
        <f>IF(Datos!A301="","",SQRT(SUMXMY2(X301:AC301,$X$303:$AC$303)))</f>
        <v/>
      </c>
      <c r="AF301">
        <f>IF(Datos!A301="","",SQRT(SUMXMY2(X301:AC301,$X$304:$AC$304)))</f>
        <v/>
      </c>
      <c r="AG301" s="11">
        <f>IF(Datos!A301="","",IF(AE301+AF301&lt;0.000000001,0.5,AF301/(AE301+AF301)))</f>
        <v/>
      </c>
      <c r="AH301">
        <f>IF(Datos!A301="","",AG301*MAX(C301*D301,1))</f>
        <v/>
      </c>
      <c r="AI301">
        <f>IF(Datos!A301="","",SUMIF($AH$2:$AH$301,"&gt;="&amp;AH301,$AH$2:$AH$301)/SUM($AH$2:$AH$301))</f>
        <v/>
      </c>
      <c r="AJ301" s="12">
        <f>IF(Datos!A301="","",IF(AI301&lt;=Parametros!$B$13,"A",IF(AI301&lt;=Parametros!$B$14,"B","C")))</f>
        <v/>
      </c>
      <c r="AK301" s="13">
        <f>IF(Datos!A301="","",VLOOKUP(AJ301,Parametros!$A$8:$C$10,2,FALSE))</f>
        <v/>
      </c>
      <c r="AL301">
        <f>IF(Datos!A301="","",VLOOKUP(AJ301,Parametros!$A$8:$C$10,3,FALSE))</f>
        <v/>
      </c>
      <c r="AM301">
        <f>IF(Datos!A301="","",NORMSINV(AK301))</f>
        <v/>
      </c>
      <c r="AN301">
        <f>IF(Datos!A301="","",D301/Parametros!$B$4)</f>
        <v/>
      </c>
      <c r="AO301">
        <f>IF(Datos!A301="","",MAX(0,ROUNDUP(AM301*(AN301*Parametros!$B$3)*SQRT((AL301+E301)),0)))</f>
        <v/>
      </c>
      <c r="AP301">
        <f>IF(Datos!A301="","",MAX(1,ROUNDUP(AN301*(AL301+E301)+AM301*(AN301*Parametros!$B$3)*SQRT((AL301+E301)),0)))</f>
        <v/>
      </c>
      <c r="AQ301">
        <f>IF(Datos!A301="","",IF(Datos!J301="","",Datos!J301))</f>
        <v/>
      </c>
      <c r="AR301">
        <f>IF(OR(Datos!A301="",AQ301=""),"",MAX(0,AQ301-AP301))</f>
        <v/>
      </c>
      <c r="AS301" s="10">
        <f>IF(OR(Datos!A301="",AQ301=""),"",AR301*C301)</f>
        <v/>
      </c>
      <c r="AT301" s="12">
        <f>IF(OR(Datos!A301="",AQ301=""),"",IF(AQ301&lt;AO301,"SI",""))</f>
        <v/>
      </c>
      <c r="AU301">
        <f>IF(Datos!A301="","",IF(AT301="SI","Reponer ahora",IF(AND(AQ301&lt;&gt;"",AR301&gt;0),"Bajar "&amp;TEXT(AR301,"#,##0")&amp;" un.","En rango")))</f>
        <v/>
      </c>
    </row>
    <row r="303">
      <c r="W303" t="inlineStr">
        <is>
          <t>Ideal +</t>
        </is>
      </c>
      <c r="X303">
        <f>MAX(X$2:X$301)</f>
        <v/>
      </c>
      <c r="Y303">
        <f>MAX(Y$2:Y$301)</f>
        <v/>
      </c>
      <c r="Z303">
        <f>MAX(Z$2:Z$301)</f>
        <v/>
      </c>
      <c r="AA303">
        <f>MAX(AA$2:AA$301)</f>
        <v/>
      </c>
      <c r="AB303">
        <f>MAX(AB$2:AB$301)</f>
        <v/>
      </c>
      <c r="AC303">
        <f>MIN(AC$2:AC$301)</f>
        <v/>
      </c>
    </row>
    <row r="304">
      <c r="W304" t="inlineStr">
        <is>
          <t>Ideal -</t>
        </is>
      </c>
      <c r="X304">
        <f>MIN(X$2:X$301)</f>
        <v/>
      </c>
      <c r="Y304">
        <f>MIN(Y$2:Y$301)</f>
        <v/>
      </c>
      <c r="Z304">
        <f>MIN(Z$2:Z$301)</f>
        <v/>
      </c>
      <c r="AA304">
        <f>MIN(AA$2:AA$301)</f>
        <v/>
      </c>
      <c r="AB304">
        <f>MIN(AB$2:AB$301)</f>
        <v/>
      </c>
      <c r="AC304">
        <f>MAX(AC$2:AC$301)</f>
        <v/>
      </c>
    </row>
  </sheetData>
  <conditionalFormatting sqref="AJ2:AJ30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AT2:AT301">
    <cfRule type="cellIs" priority="4" operator="equal" dxfId="3">
      <formula>"SI"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6" customWidth="1" min="3" max="3"/>
  </cols>
  <sheetData>
    <row r="1">
      <c r="A1" s="16" t="inlineStr">
        <is>
          <t>PARAMETROS DEL MODELO</t>
        </is>
      </c>
    </row>
    <row r="3">
      <c r="A3" s="15" t="inlineStr">
        <is>
          <t>CV de la demanda</t>
        </is>
      </c>
      <c r="B3" s="17" t="n">
        <v>0.5</v>
      </c>
      <c r="C3" s="18" t="inlineStr">
        <is>
          <t>Variabilidad del consumo. 0,3 pareja · 0,5 tipico · 1,0+ erratica</t>
        </is>
      </c>
    </row>
    <row r="4">
      <c r="A4" s="15" t="inlineStr">
        <is>
          <t>Dias operativos al año</t>
        </is>
      </c>
      <c r="B4" s="17" t="n">
        <v>360</v>
      </c>
      <c r="C4" s="18" t="inlineStr">
        <is>
          <t>Base para convertir el consumo anual en demanda diaria</t>
        </is>
      </c>
    </row>
    <row r="6">
      <c r="A6" s="3" t="inlineStr">
        <is>
          <t>POLITICA POR CLASE</t>
        </is>
      </c>
    </row>
    <row r="7">
      <c r="A7" s="8" t="inlineStr">
        <is>
          <t>Clase</t>
        </is>
      </c>
      <c r="B7" s="8" t="inlineStr">
        <is>
          <t>Nivel de servicio</t>
        </is>
      </c>
      <c r="C7" s="8" t="inlineStr">
        <is>
          <t>Revision (dias)</t>
        </is>
      </c>
    </row>
    <row r="8">
      <c r="A8" s="19" t="inlineStr">
        <is>
          <t>A</t>
        </is>
      </c>
      <c r="B8" s="20" t="n">
        <v>0.99</v>
      </c>
      <c r="C8" s="21" t="n">
        <v>7</v>
      </c>
    </row>
    <row r="9">
      <c r="A9" s="19" t="inlineStr">
        <is>
          <t>B</t>
        </is>
      </c>
      <c r="B9" s="20" t="n">
        <v>0.95</v>
      </c>
      <c r="C9" s="21" t="n">
        <v>15</v>
      </c>
    </row>
    <row r="10">
      <c r="A10" s="19" t="inlineStr">
        <is>
          <t>C</t>
        </is>
      </c>
      <c r="B10" s="20" t="n">
        <v>0.9</v>
      </c>
      <c r="C10" s="21" t="n">
        <v>30</v>
      </c>
    </row>
    <row r="12">
      <c r="A12" s="3" t="inlineStr">
        <is>
          <t>CORTES DE PARETO</t>
        </is>
      </c>
    </row>
    <row r="13">
      <c r="A13" t="inlineStr">
        <is>
          <t>Hasta % acumulado -&gt; clase A</t>
        </is>
      </c>
      <c r="B13" s="22" t="n">
        <v>0.8</v>
      </c>
    </row>
    <row r="14">
      <c r="A14" t="inlineStr">
        <is>
          <t>Hasta % acumulado -&gt; clase B</t>
        </is>
      </c>
      <c r="B14" s="2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2026-09-09T04:26:20Z</dcterms:created>
  <dcterms:modified xsi:type="dcterms:W3CDTF">2026-09-09T04:26:20Z</dcterms:modified>
</cp:coreProperties>
</file>